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7770" windowHeight="11470"/>
  </bookViews>
  <sheets>
    <sheet name="参数表" sheetId="1" r:id="rId1"/>
    <sheet name="不爱更换" sheetId="2" r:id="rId2"/>
    <sheet name="爱更换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<sst xmlns="http://schemas.openxmlformats.org/spreadsheetml/2006/main" count="76" uniqueCount="52">
  <si>
    <t>参数名称</t>
  </si>
  <si>
    <t>数值</t>
  </si>
  <si>
    <t>备注</t>
  </si>
  <si>
    <t>基础产出间隔</t>
  </si>
  <si>
    <t>每15h产出一批</t>
  </si>
  <si>
    <t>单次产出量</t>
  </si>
  <si>
    <t>每次产出获得属性木材150个</t>
  </si>
  <si>
    <t>单属性的家具成本</t>
  </si>
  <si>
    <t>购买一个属性家具需要450分属性木材</t>
  </si>
  <si>
    <t>单个属性家具的效率加成</t>
  </si>
  <si>
    <t>放置一个属性家具时产出缩短10%</t>
  </si>
  <si>
    <t>三个属性家具集齐加成</t>
  </si>
  <si>
    <t>放满三个同属性家具时产出缩短35%</t>
  </si>
  <si>
    <t>总家具效率加成</t>
  </si>
  <si>
    <t>放置跨系家具时产出缩短50%</t>
  </si>
  <si>
    <t>属性木材分解比例(粉尘)</t>
  </si>
  <si>
    <t>50个属性木材分解时，6%变为魔法粉尘</t>
  </si>
  <si>
    <t>属性木材分解比例(普通)</t>
  </si>
  <si>
    <t>50个属性木材分解时，80%变为普通木材</t>
  </si>
  <si>
    <t>亲密度糖果概率</t>
  </si>
  <si>
    <t>每次产出有10%概率获得亲密度糖果</t>
  </si>
  <si>
    <t>每颗糖果增加的亲密度</t>
  </si>
  <si>
    <t>使用一颗糖果增加200亲密度</t>
  </si>
  <si>
    <t>效率惩罚触发天数</t>
  </si>
  <si>
    <t>连续两天不换精灵触发效率下降</t>
  </si>
  <si>
    <t>效率惩罚比例</t>
  </si>
  <si>
    <t>触发惩罚后，单次产出减少20%</t>
  </si>
  <si>
    <t>天数</t>
  </si>
  <si>
    <t>当日领取次数</t>
  </si>
  <si>
    <t>火属性家具数量</t>
  </si>
  <si>
    <t>水属性家具数量</t>
  </si>
  <si>
    <t>草属性家具数量</t>
  </si>
  <si>
    <t>总家具解锁</t>
  </si>
  <si>
    <t>效率加成</t>
  </si>
  <si>
    <t>是否有惩罚</t>
  </si>
  <si>
    <t>当前产出间隔（h）</t>
  </si>
  <si>
    <t>当天实际可领取次数</t>
  </si>
  <si>
    <t>单次基础产出</t>
  </si>
  <si>
    <t>单次实际产出</t>
  </si>
  <si>
    <t>当日总产出</t>
  </si>
  <si>
    <t>累积属性木材（从第一天）</t>
  </si>
  <si>
    <t>是否购买火家具</t>
  </si>
  <si>
    <t>是否购买水家具</t>
  </si>
  <si>
    <t>是否购买草家具</t>
  </si>
  <si>
    <t>购买家具扣除木材</t>
  </si>
  <si>
    <t>剩余木材</t>
  </si>
  <si>
    <t>当前亲密度</t>
  </si>
  <si>
    <t>今日是否更换精灵</t>
  </si>
  <si>
    <t>连续未更换天数</t>
  </si>
  <si>
    <t>是否购买总家具</t>
  </si>
  <si>
    <t>当前行是否购买了总家具（行为）</t>
  </si>
  <si>
    <t>差值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</si>
</sst>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name val="宋体"/>
      <charset val="134"/>
    </font>
    <font>
      <sz val="11"/>
      <color rgb="FF000000"/>
      <name val="宋体"/>
      <charset val="134"/>
    </font>
    <font>
      <b/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9" fontId="1" fillId="0" borderId="0" xfId="0" applyNumberFormat="1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rgb="FFD9E1F4"/>
          <bgColor rgb="FFD9E1F4"/>
        </patternFill>
      </fill>
    </dxf>
    <dxf>
      <fill>
        <patternFill patternType="solid">
          <fgColor rgb="FFD9E1F4"/>
          <bgColor rgb="FFD9E1F4"/>
        </patternFill>
      </fill>
    </dxf>
    <dxf>
      <font>
        <b val="1"/>
        <color rgb="FF000000"/>
      </font>
    </dxf>
    <dxf>
      <font>
        <b val="1"/>
        <color rgb="FF000000"/>
      </font>
    </dxf>
    <dxf>
      <font>
        <b val="1"/>
        <color rgb="FF000000"/>
      </font>
      <border>
        <left/>
        <right/>
        <top style="double">
          <color rgb="FF4874CB"/>
        </top>
        <bottom/>
      </border>
    </dxf>
    <dxf>
      <font>
        <b val="1"/>
        <color rgb="FFFFFFFF"/>
      </font>
      <fill>
        <patternFill patternType="solid">
          <fgColor rgb="FF4874CB"/>
          <bgColor rgb="FF4874CB"/>
        </patternFill>
      </fill>
    </dxf>
    <dxf>
      <font>
        <color rgb="FF000000"/>
      </font>
      <border>
        <left style="thin">
          <color rgb="FF4874CB"/>
        </left>
        <right style="thin">
          <color rgb="FF4874CB"/>
        </right>
        <top style="thin">
          <color rgb="FF4874CB"/>
        </top>
        <bottom style="thin">
          <color rgb="FF4874CB"/>
        </bottom>
        <horizontal style="thin">
          <color rgb="FF91AADF"/>
        </horizontal>
      </border>
    </dxf>
    <dxf>
      <fill>
        <patternFill patternType="solid">
          <fgColor rgb="FFD9E1F4"/>
          <bgColor rgb="FFD9E1F4"/>
        </patternFill>
      </fill>
      <border>
        <left/>
        <right/>
        <top/>
        <bottom style="thin">
          <color rgb="FF91AADF"/>
        </bottom>
      </border>
    </dxf>
    <dxf>
      <font>
        <b val="1"/>
      </font>
      <fill>
        <patternFill patternType="solid">
          <fgColor rgb="FFD9E1F4"/>
          <bgColor rgb="FFD9E1F4"/>
        </patternFill>
      </fill>
      <border>
        <left/>
        <right/>
        <top/>
        <bottom style="thin">
          <color rgb="FF91AADF"/>
        </bottom>
      </border>
    </dxf>
    <dxf>
      <font>
        <color rgb="FF000000"/>
      </font>
    </dxf>
    <dxf>
      <font>
        <color rgb="FF000000"/>
      </font>
      <border>
        <left/>
        <right/>
        <top/>
        <bottom style="thin">
          <color rgb="FF91AADF"/>
        </bottom>
      </border>
    </dxf>
    <dxf>
      <font>
        <b val="1"/>
        <color rgb="FF000000"/>
      </font>
    </dxf>
    <dxf>
      <font>
        <b val="1"/>
        <color rgb="FF000000"/>
      </font>
      <border>
        <left/>
        <right/>
        <top style="thin">
          <color rgb="FF4874CB"/>
        </top>
        <bottom style="thin">
          <color rgb="FF4874CB"/>
        </bottom>
      </border>
    </dxf>
    <dxf>
      <fill>
        <patternFill patternType="solid">
          <fgColor rgb="FFD9E1F4"/>
          <bgColor rgb="FFD9E1F4"/>
        </patternFill>
      </fill>
    </dxf>
    <dxf>
      <fill>
        <patternFill patternType="solid">
          <fgColor rgb="FFD9E1F4"/>
          <bgColor rgb="FFD9E1F4"/>
        </patternFill>
      </fill>
    </dxf>
    <dxf>
      <font>
        <b val="1"/>
        <color rgb="FF000000"/>
      </font>
      <fill>
        <patternFill patternType="solid">
          <fgColor rgb="FFD9E1F4"/>
          <bgColor rgb="FFD9E1F4"/>
        </patternFill>
      </fill>
      <border>
        <left/>
        <right/>
        <top style="thin">
          <color rgb="FF91AADF"/>
        </top>
        <bottom style="thin">
          <color rgb="FF91AADF"/>
        </bottom>
      </border>
    </dxf>
    <dxf>
      <font>
        <b val="1"/>
        <color rgb="FF000000"/>
      </font>
      <fill>
        <patternFill patternType="solid">
          <fgColor rgb="FFD9E1F4"/>
          <bgColor rgb="FFD9E1F4"/>
        </patternFill>
      </fill>
      <border>
        <left/>
        <right/>
        <top/>
        <bottom style="thin">
          <color rgb="FF91AADF"/>
        </bottom>
      </border>
    </dxf>
  </dxfs>
  <tableStyles count="2" defaultTableStyle="TableStylePreset3_Accent1 1" defaultPivotStyle="PivotStylePreset2_Accent1 1">
    <tableStyle name="TableStylePreset3_Accent1 1" pivot="0" count="7" xr9:uid="{1C56D987-7C3A-4839-AC05-EEDE529B4592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 1" table="0" count="10" xr9:uid="{41ABFD50-C595-4769-A7B7-5CB32EEDCED8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爱更换与不爱更换的日差值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841578947368421"/>
          <c:y val="0.178703703703704"/>
          <c:w val="0.888210526315789"/>
          <c:h val="0.606342592592593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不爱更换!$Z$3:$Z$32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33</c:v>
                </c:pt>
                <c:pt idx="3">
                  <c:v>66</c:v>
                </c:pt>
                <c:pt idx="4">
                  <c:v>138</c:v>
                </c:pt>
                <c:pt idx="5">
                  <c:v>210</c:v>
                </c:pt>
                <c:pt idx="6">
                  <c:v>327</c:v>
                </c:pt>
                <c:pt idx="7">
                  <c:v>408</c:v>
                </c:pt>
                <c:pt idx="8">
                  <c:v>489</c:v>
                </c:pt>
                <c:pt idx="9">
                  <c:v>570</c:v>
                </c:pt>
                <c:pt idx="10">
                  <c:v>651</c:v>
                </c:pt>
                <c:pt idx="11">
                  <c:v>732</c:v>
                </c:pt>
                <c:pt idx="12">
                  <c:v>813</c:v>
                </c:pt>
                <c:pt idx="13">
                  <c:v>894</c:v>
                </c:pt>
                <c:pt idx="14">
                  <c:v>975</c:v>
                </c:pt>
                <c:pt idx="15">
                  <c:v>1056</c:v>
                </c:pt>
                <c:pt idx="16">
                  <c:v>1137</c:v>
                </c:pt>
                <c:pt idx="17">
                  <c:v>1218</c:v>
                </c:pt>
                <c:pt idx="18">
                  <c:v>1344</c:v>
                </c:pt>
                <c:pt idx="19">
                  <c:v>1434</c:v>
                </c:pt>
                <c:pt idx="20">
                  <c:v>1524</c:v>
                </c:pt>
                <c:pt idx="21">
                  <c:v>1614</c:v>
                </c:pt>
                <c:pt idx="22">
                  <c:v>1704</c:v>
                </c:pt>
                <c:pt idx="23">
                  <c:v>1794</c:v>
                </c:pt>
                <c:pt idx="24">
                  <c:v>1884</c:v>
                </c:pt>
                <c:pt idx="25">
                  <c:v>1974</c:v>
                </c:pt>
                <c:pt idx="26">
                  <c:v>2064</c:v>
                </c:pt>
                <c:pt idx="27">
                  <c:v>2154</c:v>
                </c:pt>
                <c:pt idx="28">
                  <c:v>2244</c:v>
                </c:pt>
                <c:pt idx="29">
                  <c:v>2334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541470239"/>
        <c:axId val="437065462"/>
      </c:lineChart>
      <c:catAx>
        <c:axId val="54147023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37065462"/>
        <c:crosses val="autoZero"/>
        <c:auto val="1"/>
        <c:lblAlgn val="ctr"/>
        <c:lblOffset val="100"/>
        <c:noMultiLvlLbl val="0"/>
      </c:catAx>
      <c:valAx>
        <c:axId val="43706546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414702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15</xdr:col>
      <xdr:colOff>488950</xdr:colOff>
      <xdr:row>32</xdr:row>
      <xdr:rowOff>127000</xdr:rowOff>
    </xdr:from>
    <xdr:to>
      <xdr:col>23</xdr:col>
      <xdr:colOff>438150</xdr:colOff>
      <xdr:row>48</xdr:row>
      <xdr:rowOff>25400</xdr:rowOff>
    </xdr:to>
    <xdr:graphicFrame>
      <xdr:nvGraphicFramePr>
        <xdr:cNvPr id="2" name="图表 1"/>
        <xdr:cNvGraphicFramePr/>
      </xdr:nvGraphicFramePr>
      <xdr:xfrm>
        <a:off x="15265400" y="5816600"/>
        <a:ext cx="777875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4874CB"/>
  </sheetPr>
  <dimension ref="A1:C13"/>
  <sheetViews>
    <sheetView tabSelected="1" workbookViewId="0">
      <selection activeCell="D8" sqref="D8"/>
    </sheetView>
  </sheetViews>
  <sheetFormatPr defaultColWidth="41" defaultRowHeight="28.3" customHeight="1" outlineLevelCol="2"/>
  <cols>
    <col min="1" max="2" width="20.6181818181818" style="1" customWidth="1"/>
    <col min="3" max="16384" width="41.2272727272727" customWidth="1"/>
  </cols>
  <sheetData>
    <row r="1" customHeight="1" spans="1:3">
      <c r="A1" s="2" t="s">
        <v>0</v>
      </c>
      <c r="B1" s="2" t="s">
        <v>1</v>
      </c>
      <c r="C1" s="2" t="s">
        <v>2</v>
      </c>
    </row>
    <row r="2" customHeight="1" spans="1:3">
      <c r="A2" s="1" t="s">
        <v>3</v>
      </c>
      <c r="B2" s="1">
        <v>15</v>
      </c>
      <c r="C2" t="s">
        <v>4</v>
      </c>
    </row>
    <row r="3" customHeight="1" spans="1:3">
      <c r="A3" s="1" t="s">
        <v>5</v>
      </c>
      <c r="B3" s="1">
        <v>150</v>
      </c>
      <c r="C3" t="s">
        <v>6</v>
      </c>
    </row>
    <row r="4" customHeight="1" spans="1:3">
      <c r="A4" s="1" t="s">
        <v>7</v>
      </c>
      <c r="B4" s="1">
        <v>450</v>
      </c>
      <c r="C4" t="s">
        <v>8</v>
      </c>
    </row>
    <row r="5" customHeight="1" spans="1:3">
      <c r="A5" s="1" t="s">
        <v>9</v>
      </c>
      <c r="B5" s="3">
        <v>0.1</v>
      </c>
      <c r="C5" t="s">
        <v>10</v>
      </c>
    </row>
    <row r="6" customHeight="1" spans="1:3">
      <c r="A6" s="1" t="s">
        <v>11</v>
      </c>
      <c r="B6" s="3">
        <v>0.35</v>
      </c>
      <c r="C6" t="s">
        <v>12</v>
      </c>
    </row>
    <row r="7" customHeight="1" spans="1:3">
      <c r="A7" s="1" t="s">
        <v>13</v>
      </c>
      <c r="B7" s="3">
        <v>0.5</v>
      </c>
      <c r="C7" t="s">
        <v>14</v>
      </c>
    </row>
    <row r="8" customHeight="1" spans="1:3">
      <c r="A8" s="1" t="s">
        <v>15</v>
      </c>
      <c r="B8" s="3">
        <v>0.06</v>
      </c>
      <c r="C8" t="s">
        <v>16</v>
      </c>
    </row>
    <row r="9" customHeight="1" spans="1:3">
      <c r="A9" s="1" t="s">
        <v>17</v>
      </c>
      <c r="B9" s="3">
        <v>0.8</v>
      </c>
      <c r="C9" t="s">
        <v>18</v>
      </c>
    </row>
    <row r="10" customHeight="1" spans="1:3">
      <c r="A10" s="1" t="s">
        <v>19</v>
      </c>
      <c r="B10" s="3">
        <v>0.1</v>
      </c>
      <c r="C10" t="s">
        <v>20</v>
      </c>
    </row>
    <row r="11" customHeight="1" spans="1:3">
      <c r="A11" s="1" t="s">
        <v>21</v>
      </c>
      <c r="B11" s="1">
        <v>200</v>
      </c>
      <c r="C11" t="s">
        <v>22</v>
      </c>
    </row>
    <row r="12" customHeight="1" spans="1:3">
      <c r="A12" s="1" t="s">
        <v>23</v>
      </c>
      <c r="B12" s="1">
        <v>2</v>
      </c>
      <c r="C12" t="s">
        <v>24</v>
      </c>
    </row>
    <row r="13" customHeight="1" spans="1:3">
      <c r="A13" s="1" t="s">
        <v>25</v>
      </c>
      <c r="B13" s="3">
        <v>0.2</v>
      </c>
      <c r="C13" t="s">
        <v>26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32"/>
  <sheetViews>
    <sheetView topLeftCell="P1" workbookViewId="0">
      <selection activeCell="V49" sqref="V49"/>
    </sheetView>
  </sheetViews>
  <sheetFormatPr defaultColWidth="9" defaultRowHeight="14" customHeight="1"/>
  <cols>
    <col min="1" max="13" width="13.6363636363636" style="1" customWidth="1"/>
    <col min="14" max="14" width="20.6363636363636" style="1" customWidth="1"/>
    <col min="15" max="20" width="13.6363636363636" style="1" customWidth="1"/>
    <col min="21" max="21" width="15.6363636363636" style="1" customWidth="1"/>
    <col min="22" max="22" width="13.6363636363636" style="1" customWidth="1"/>
    <col min="23" max="23" width="14.6363636363636" style="1" customWidth="1"/>
    <col min="24" max="26" width="13.6363636363636" style="1" customWidth="1"/>
    <col min="27" max="16384" width="8.72727272727273" style="1" customWidth="1"/>
  </cols>
  <sheetData>
    <row r="1" customHeight="1" spans="1:26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Z1" s="1" t="s">
        <v>51</v>
      </c>
    </row>
    <row r="2" customHeight="1" spans="1:26">
      <c r="A2" s="1">
        <v>0</v>
      </c>
      <c r="B2" s="1">
        <v>0</v>
      </c>
      <c r="C2" s="1">
        <v>1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Z2" s="1">
        <f>爱更换!N2-N2</f>
        <v>0</v>
      </c>
    </row>
    <row r="3" customHeight="1" spans="1:26">
      <c r="A3" s="1">
        <v>1</v>
      </c>
      <c r="B3" s="1">
        <v>2</v>
      </c>
      <c r="C3" s="1">
        <f>MIN(3,C2+O2)</f>
        <v>1</v>
      </c>
      <c r="D3" s="1">
        <f>MIN(3,D2+P2)</f>
        <v>0</v>
      </c>
      <c r="E3" s="1">
        <f>MIN(3,E2+Q2)</f>
        <v>0</v>
      </c>
      <c r="F3" s="1">
        <f>IF(F2=1,1,IF(AND(C2&gt;=3,D2&gt;=3,E2&gt;=3),1,0))</f>
        <v>0</v>
      </c>
      <c r="G3" s="1">
        <v>0.1</v>
      </c>
      <c r="H3" s="1">
        <f>IF(V3&gt;=2,1,0)</f>
        <v>0</v>
      </c>
      <c r="I3" s="1">
        <f>参数表!$B$2*(1-G3)</f>
        <v>13.5</v>
      </c>
      <c r="J3" s="1">
        <f>MIN(2,ROUNDDOWN(24/I3,0))</f>
        <v>1</v>
      </c>
      <c r="K3" s="1">
        <f>参数表!$B$3</f>
        <v>150</v>
      </c>
      <c r="L3" s="1">
        <f>K3*(1+G3)*(1-H3*参数表!$B$13)</f>
        <v>165</v>
      </c>
      <c r="M3" s="1">
        <f>L3*J3</f>
        <v>165</v>
      </c>
      <c r="N3" s="1">
        <f>M3</f>
        <v>165</v>
      </c>
      <c r="O3" s="1">
        <f>IF(AND(S2&gt;=450,C2&lt;3,F2=0),1,0)</f>
        <v>0</v>
      </c>
      <c r="P3" s="1">
        <f>IF(AND(S2&gt;=450,D2&lt;3,C2&gt;=3,F2=0),1,0)</f>
        <v>0</v>
      </c>
      <c r="Q3" s="1">
        <f>IF(AND(S2&gt;=450,E2&lt;3,D2&gt;=3,F2=0),1,0)</f>
        <v>0</v>
      </c>
      <c r="R3" s="1">
        <f>O3*450+P3*450+Q3*450+X3*1000</f>
        <v>0</v>
      </c>
      <c r="S3" s="1">
        <f t="shared" ref="S3:S14" si="0">S2+M3-R3</f>
        <v>165</v>
      </c>
      <c r="T3" s="1" t="b">
        <f ca="1">RAND()&lt;=参数表!$B$10</f>
        <v>0</v>
      </c>
      <c r="U3" s="1">
        <v>0</v>
      </c>
      <c r="V3" s="1">
        <v>0</v>
      </c>
      <c r="W3" s="1">
        <f>IF(W2=1,1,IF(AND(F3=1,S2&gt;=1000,W2=0),1,0))</f>
        <v>0</v>
      </c>
      <c r="X3" s="1">
        <f>IF(AND(W3=1,W2=0),1,0)</f>
        <v>0</v>
      </c>
      <c r="Z3" s="1">
        <f>Z2+(爱更换!N3-N3)</f>
        <v>0</v>
      </c>
    </row>
    <row r="4" customHeight="1" spans="1:26">
      <c r="A4" s="1">
        <v>2</v>
      </c>
      <c r="B4" s="1">
        <v>2</v>
      </c>
      <c r="C4" s="1">
        <f t="shared" ref="C4:C32" si="1">MIN(3,C3+O3)</f>
        <v>1</v>
      </c>
      <c r="D4" s="1">
        <f t="shared" ref="D4:D32" si="2">MIN(3,D3+P3)</f>
        <v>0</v>
      </c>
      <c r="E4" s="1">
        <f t="shared" ref="E4:E32" si="3">MIN(3,E3+Q3)</f>
        <v>0</v>
      </c>
      <c r="F4" s="1">
        <f>IF(F3=1,1,IF(AND(C3&gt;=3,D3&gt;=3,E3&gt;=3),1,0))</f>
        <v>0</v>
      </c>
      <c r="G4" s="1">
        <f>IF(W4=1,参数表!$B$7,IF(AND(C4&gt;=3,D4&gt;=3,E4&gt;=3),参数表!$B$6,IF(OR(C4&gt;=3,D4&gt;=3,E4&gt;=3),参数表!$B$6,IF(OR(C4&gt;=2,D4&gt;=2,E4&gt;=2),参数表!$B$5*2,IF(OR(C4&gt;=1,D4&gt;=1,E4&gt;=1),参数表!$B$5,0)))))</f>
        <v>0.1</v>
      </c>
      <c r="H4" s="1">
        <f t="shared" ref="H4:H11" si="4">IF(V4&gt;=2,1,0)</f>
        <v>0</v>
      </c>
      <c r="I4" s="1">
        <f>参数表!$B$2*(1-G4)</f>
        <v>13.5</v>
      </c>
      <c r="J4" s="1">
        <f t="shared" ref="J3:J14" si="5">MIN(2,ROUNDDOWN(24/I4,0))</f>
        <v>1</v>
      </c>
      <c r="K4" s="1">
        <f>参数表!$B$3</f>
        <v>150</v>
      </c>
      <c r="L4" s="1">
        <f>K4*(1+G4)*(1-H4*参数表!$B$13)</f>
        <v>165</v>
      </c>
      <c r="M4" s="1">
        <f t="shared" ref="M3:M14" si="6">L4*J4</f>
        <v>165</v>
      </c>
      <c r="N4" s="1">
        <f t="shared" ref="N4:N14" si="7">N3+M4</f>
        <v>330</v>
      </c>
      <c r="O4" s="1">
        <f>IF(AND(S3&gt;=450,C3&lt;3,F3=0),1,0)</f>
        <v>0</v>
      </c>
      <c r="P4" s="1">
        <f t="shared" ref="P4:P32" si="8">IF(AND(S3&gt;=450,D3&lt;3,C3&gt;=3,F3=0),1,0)</f>
        <v>0</v>
      </c>
      <c r="Q4" s="1">
        <f t="shared" ref="Q4:Q32" si="9">IF(AND(S3&gt;=450,E3&lt;3,D3&gt;=3,F3=0),1,0)</f>
        <v>0</v>
      </c>
      <c r="R4" s="1">
        <f t="shared" ref="R4:R32" si="10">O4*450+P4*450+Q4*450+X4*1000</f>
        <v>0</v>
      </c>
      <c r="S4" s="1">
        <f t="shared" si="0"/>
        <v>330</v>
      </c>
      <c r="T4" s="1" t="b">
        <f ca="1">RAND()&lt;=参数表!$B$10</f>
        <v>0</v>
      </c>
      <c r="U4" s="1">
        <v>0</v>
      </c>
      <c r="V4" s="1">
        <f t="shared" ref="V4:V11" si="11">IF(U4=1,0,V3+1)</f>
        <v>1</v>
      </c>
      <c r="W4" s="1">
        <f>IF(W3=1,1,IF(AND(F4=1,S3&gt;=1000,W3=0),1,0))</f>
        <v>0</v>
      </c>
      <c r="X4" s="1">
        <f t="shared" ref="X4:X32" si="12">IF(AND(W4=1,W3=0),1,0)</f>
        <v>0</v>
      </c>
      <c r="Z4" s="1">
        <f>爱更换!N4-N4</f>
        <v>0</v>
      </c>
    </row>
    <row r="5" customHeight="1" spans="1:26">
      <c r="A5" s="1">
        <v>3</v>
      </c>
      <c r="B5" s="1">
        <v>2</v>
      </c>
      <c r="C5" s="1">
        <f t="shared" si="1"/>
        <v>1</v>
      </c>
      <c r="D5" s="1">
        <f t="shared" si="2"/>
        <v>0</v>
      </c>
      <c r="E5" s="1">
        <f t="shared" si="3"/>
        <v>0</v>
      </c>
      <c r="F5" s="1">
        <f t="shared" ref="F5:F11" si="13">IF(F4=1,1,IF(AND(C4&gt;=3,D4&gt;=3,E4&gt;=3),1,0))</f>
        <v>0</v>
      </c>
      <c r="G5" s="1">
        <f>IF(W5=1,参数表!$B$7,IF(AND(C5&gt;=3,D5&gt;=3,E5&gt;=3),参数表!$B$6,IF(OR(C5&gt;=3,D5&gt;=3,E5&gt;=3),参数表!$B$6,IF(OR(C5&gt;=2,D5&gt;=2,E5&gt;=2),参数表!$B$5*2,IF(OR(C5&gt;=1,D5&gt;=1,E5&gt;=1),参数表!$B$5,0)))))</f>
        <v>0.1</v>
      </c>
      <c r="H5" s="1">
        <f t="shared" si="4"/>
        <v>1</v>
      </c>
      <c r="I5" s="1">
        <f>参数表!$B$2*(1-G5)</f>
        <v>13.5</v>
      </c>
      <c r="J5" s="1">
        <f t="shared" si="5"/>
        <v>1</v>
      </c>
      <c r="K5" s="1">
        <f>参数表!$B$3</f>
        <v>150</v>
      </c>
      <c r="L5" s="1">
        <f>K5*(1+G5)*(1-H5*参数表!$B$13)</f>
        <v>132</v>
      </c>
      <c r="M5" s="1">
        <f t="shared" si="6"/>
        <v>132</v>
      </c>
      <c r="N5" s="1">
        <f t="shared" si="7"/>
        <v>462</v>
      </c>
      <c r="O5" s="1">
        <f t="shared" ref="O4:O32" si="14">IF(AND(S4&gt;=450,C4&lt;3,F4=0),1,0)</f>
        <v>0</v>
      </c>
      <c r="P5" s="1">
        <f t="shared" si="8"/>
        <v>0</v>
      </c>
      <c r="Q5" s="1">
        <f t="shared" si="9"/>
        <v>0</v>
      </c>
      <c r="R5" s="1">
        <f t="shared" si="10"/>
        <v>0</v>
      </c>
      <c r="S5" s="1">
        <f t="shared" si="0"/>
        <v>462</v>
      </c>
      <c r="T5" s="1" t="b">
        <f ca="1">RAND()&lt;=参数表!$B$10</f>
        <v>0</v>
      </c>
      <c r="U5" s="1">
        <v>0</v>
      </c>
      <c r="V5" s="1">
        <f t="shared" si="11"/>
        <v>2</v>
      </c>
      <c r="W5" s="1">
        <f t="shared" ref="W4:W32" si="15">IF(W4=1,1,IF(AND(F5=1,S4&gt;=1000,W4=0),1,0))</f>
        <v>0</v>
      </c>
      <c r="X5" s="1">
        <f t="shared" si="12"/>
        <v>0</v>
      </c>
      <c r="Z5" s="1">
        <f>爱更换!N5-N5</f>
        <v>33</v>
      </c>
    </row>
    <row r="6" customHeight="1" spans="1:26">
      <c r="A6" s="1">
        <v>4</v>
      </c>
      <c r="B6" s="1">
        <v>2</v>
      </c>
      <c r="C6" s="1">
        <f t="shared" si="1"/>
        <v>1</v>
      </c>
      <c r="D6" s="1">
        <f t="shared" si="2"/>
        <v>0</v>
      </c>
      <c r="E6" s="1">
        <f t="shared" si="3"/>
        <v>0</v>
      </c>
      <c r="F6" s="1">
        <f t="shared" si="13"/>
        <v>0</v>
      </c>
      <c r="G6" s="1">
        <f>IF(W6=1,参数表!$B$7,IF(AND(C6&gt;=3,D6&gt;=3,E6&gt;=3),参数表!$B$6,IF(OR(C6&gt;=3,D6&gt;=3,E6&gt;=3),参数表!$B$6,IF(OR(C6&gt;=2,D6&gt;=2,E6&gt;=2),参数表!$B$5*2,IF(OR(C6&gt;=1,D6&gt;=1,E6&gt;=1),参数表!$B$5,0)))))</f>
        <v>0.1</v>
      </c>
      <c r="H6" s="1">
        <f t="shared" si="4"/>
        <v>1</v>
      </c>
      <c r="I6" s="1">
        <f>参数表!$B$2*(1-G6)</f>
        <v>13.5</v>
      </c>
      <c r="J6" s="1">
        <f t="shared" si="5"/>
        <v>1</v>
      </c>
      <c r="K6" s="1">
        <f>参数表!$B$3</f>
        <v>150</v>
      </c>
      <c r="L6" s="1">
        <f>K6*(1+G6)*(1-H6*参数表!$B$13)</f>
        <v>132</v>
      </c>
      <c r="M6" s="1">
        <f t="shared" si="6"/>
        <v>132</v>
      </c>
      <c r="N6" s="1">
        <f t="shared" si="7"/>
        <v>594</v>
      </c>
      <c r="O6" s="1">
        <f>IF(AND(S5&gt;=450,C5&lt;3,F5=0),1,0)</f>
        <v>1</v>
      </c>
      <c r="P6" s="1">
        <f t="shared" si="8"/>
        <v>0</v>
      </c>
      <c r="Q6" s="1">
        <f t="shared" si="9"/>
        <v>0</v>
      </c>
      <c r="R6" s="1">
        <f t="shared" si="10"/>
        <v>450</v>
      </c>
      <c r="S6" s="1">
        <f t="shared" si="0"/>
        <v>144</v>
      </c>
      <c r="T6" s="1" t="b">
        <f ca="1">RAND()&lt;=参数表!$B$10</f>
        <v>0</v>
      </c>
      <c r="U6" s="1">
        <v>0</v>
      </c>
      <c r="V6" s="1">
        <f t="shared" si="11"/>
        <v>3</v>
      </c>
      <c r="W6" s="1">
        <f t="shared" si="15"/>
        <v>0</v>
      </c>
      <c r="X6" s="1">
        <f t="shared" si="12"/>
        <v>0</v>
      </c>
      <c r="Z6" s="1">
        <f>爱更换!N6-N6</f>
        <v>66</v>
      </c>
    </row>
    <row r="7" customHeight="1" spans="1:26">
      <c r="A7" s="1">
        <v>5</v>
      </c>
      <c r="B7" s="1">
        <v>2</v>
      </c>
      <c r="C7" s="1">
        <f t="shared" si="1"/>
        <v>2</v>
      </c>
      <c r="D7" s="1">
        <f t="shared" si="2"/>
        <v>0</v>
      </c>
      <c r="E7" s="1">
        <f t="shared" si="3"/>
        <v>0</v>
      </c>
      <c r="F7" s="1">
        <f t="shared" si="13"/>
        <v>0</v>
      </c>
      <c r="G7" s="1">
        <f>IF(W7=1,参数表!$B$7,IF(AND(C7&gt;=3,D7&gt;=3,E7&gt;=3),参数表!$B$6,IF(OR(C7&gt;=3,D7&gt;=3,E7&gt;=3),参数表!$B$6,IF(OR(C7&gt;=2,D7&gt;=2,E7&gt;=2),参数表!$B$5*2,IF(OR(C7&gt;=1,D7&gt;=1,E7&gt;=1),参数表!$B$5,0)))))</f>
        <v>0.2</v>
      </c>
      <c r="H7" s="1">
        <f t="shared" si="4"/>
        <v>1</v>
      </c>
      <c r="I7" s="1">
        <f>参数表!$B$2*(1-G7)</f>
        <v>12</v>
      </c>
      <c r="J7" s="1">
        <f t="shared" si="5"/>
        <v>2</v>
      </c>
      <c r="K7" s="1">
        <f>参数表!$B$3</f>
        <v>150</v>
      </c>
      <c r="L7" s="1">
        <f>K7*(1+G7)*(1-H7*参数表!$B$13)</f>
        <v>144</v>
      </c>
      <c r="M7" s="1">
        <f t="shared" si="6"/>
        <v>288</v>
      </c>
      <c r="N7" s="1">
        <f t="shared" si="7"/>
        <v>882</v>
      </c>
      <c r="O7" s="1">
        <f t="shared" si="14"/>
        <v>0</v>
      </c>
      <c r="P7" s="1">
        <f t="shared" si="8"/>
        <v>0</v>
      </c>
      <c r="Q7" s="1">
        <f t="shared" si="9"/>
        <v>0</v>
      </c>
      <c r="R7" s="1">
        <f t="shared" si="10"/>
        <v>0</v>
      </c>
      <c r="S7" s="1">
        <f t="shared" si="0"/>
        <v>432</v>
      </c>
      <c r="T7" s="1" t="b">
        <f ca="1">RAND()&lt;=参数表!$B$10</f>
        <v>0</v>
      </c>
      <c r="U7" s="1">
        <v>0</v>
      </c>
      <c r="V7" s="1">
        <f t="shared" si="11"/>
        <v>4</v>
      </c>
      <c r="W7" s="1">
        <f t="shared" si="15"/>
        <v>0</v>
      </c>
      <c r="X7" s="1">
        <f t="shared" si="12"/>
        <v>0</v>
      </c>
      <c r="Z7" s="1">
        <f>爱更换!N7-N7</f>
        <v>138</v>
      </c>
    </row>
    <row r="8" customHeight="1" spans="1:26">
      <c r="A8" s="1">
        <v>6</v>
      </c>
      <c r="B8" s="1">
        <v>2</v>
      </c>
      <c r="C8" s="1">
        <f t="shared" si="1"/>
        <v>2</v>
      </c>
      <c r="D8" s="1">
        <f t="shared" si="2"/>
        <v>0</v>
      </c>
      <c r="E8" s="1">
        <f t="shared" si="3"/>
        <v>0</v>
      </c>
      <c r="F8" s="1">
        <f t="shared" si="13"/>
        <v>0</v>
      </c>
      <c r="G8" s="1">
        <f>IF(W8=1,参数表!$B$7,IF(AND(C8&gt;=3,D8&gt;=3,E8&gt;=3),参数表!$B$6,IF(OR(C8&gt;=3,D8&gt;=3,E8&gt;=3),参数表!$B$6,IF(OR(C8&gt;=2,D8&gt;=2,E8&gt;=2),参数表!$B$5*2,IF(OR(C8&gt;=1,D8&gt;=1,E8&gt;=1),参数表!$B$5,0)))))</f>
        <v>0.2</v>
      </c>
      <c r="H8" s="1">
        <f t="shared" si="4"/>
        <v>1</v>
      </c>
      <c r="I8" s="1">
        <f>参数表!$B$2*(1-G8)</f>
        <v>12</v>
      </c>
      <c r="J8" s="1">
        <f t="shared" si="5"/>
        <v>2</v>
      </c>
      <c r="K8" s="1">
        <f>参数表!$B$3</f>
        <v>150</v>
      </c>
      <c r="L8" s="1">
        <f>K8*(1+G8)*(1-H8*参数表!$B$13)</f>
        <v>144</v>
      </c>
      <c r="M8" s="1">
        <f t="shared" si="6"/>
        <v>288</v>
      </c>
      <c r="N8" s="1">
        <f t="shared" si="7"/>
        <v>1170</v>
      </c>
      <c r="O8" s="1">
        <f t="shared" si="14"/>
        <v>0</v>
      </c>
      <c r="P8" s="1">
        <f t="shared" si="8"/>
        <v>0</v>
      </c>
      <c r="Q8" s="1">
        <f t="shared" si="9"/>
        <v>0</v>
      </c>
      <c r="R8" s="1">
        <f t="shared" si="10"/>
        <v>0</v>
      </c>
      <c r="S8" s="1">
        <f t="shared" si="0"/>
        <v>720</v>
      </c>
      <c r="T8" s="1" t="b">
        <f ca="1">RAND()&lt;=参数表!$B$10</f>
        <v>0</v>
      </c>
      <c r="U8" s="1">
        <v>0</v>
      </c>
      <c r="V8" s="1">
        <f t="shared" si="11"/>
        <v>5</v>
      </c>
      <c r="W8" s="1">
        <f t="shared" si="15"/>
        <v>0</v>
      </c>
      <c r="X8" s="1">
        <f t="shared" si="12"/>
        <v>0</v>
      </c>
      <c r="Z8" s="1">
        <f>爱更换!N8-N8</f>
        <v>210</v>
      </c>
    </row>
    <row r="9" customHeight="1" spans="1:26">
      <c r="A9" s="1">
        <v>7</v>
      </c>
      <c r="B9" s="1">
        <v>2</v>
      </c>
      <c r="C9" s="1">
        <f t="shared" si="1"/>
        <v>2</v>
      </c>
      <c r="D9" s="1">
        <f t="shared" si="2"/>
        <v>0</v>
      </c>
      <c r="E9" s="1">
        <f t="shared" si="3"/>
        <v>0</v>
      </c>
      <c r="F9" s="1">
        <f t="shared" si="13"/>
        <v>0</v>
      </c>
      <c r="G9" s="1">
        <f>IF(W9=1,参数表!$B$7,IF(AND(C9&gt;=3,D9&gt;=3,E9&gt;=3),参数表!$B$6,IF(OR(C9&gt;=3,D9&gt;=3,E9&gt;=3),参数表!$B$6,IF(OR(C9&gt;=2,D9&gt;=2,E9&gt;=2),参数表!$B$5*2,IF(OR(C9&gt;=1,D9&gt;=1,E9&gt;=1),参数表!$B$5,0)))))</f>
        <v>0.2</v>
      </c>
      <c r="H9" s="1">
        <f t="shared" si="4"/>
        <v>1</v>
      </c>
      <c r="I9" s="1">
        <f>参数表!$B$2*(1-G9)</f>
        <v>12</v>
      </c>
      <c r="J9" s="1">
        <f t="shared" si="5"/>
        <v>2</v>
      </c>
      <c r="K9" s="1">
        <f>参数表!$B$3</f>
        <v>150</v>
      </c>
      <c r="L9" s="1">
        <f>K9*(1+G9)*(1-H9*参数表!$B$13)</f>
        <v>144</v>
      </c>
      <c r="M9" s="1">
        <f t="shared" si="6"/>
        <v>288</v>
      </c>
      <c r="N9" s="1">
        <f t="shared" si="7"/>
        <v>1458</v>
      </c>
      <c r="O9" s="1">
        <f t="shared" si="14"/>
        <v>1</v>
      </c>
      <c r="P9" s="1">
        <f t="shared" si="8"/>
        <v>0</v>
      </c>
      <c r="Q9" s="1">
        <f t="shared" si="9"/>
        <v>0</v>
      </c>
      <c r="R9" s="1">
        <f t="shared" si="10"/>
        <v>450</v>
      </c>
      <c r="S9" s="1">
        <f t="shared" si="0"/>
        <v>558</v>
      </c>
      <c r="T9" s="1" t="b">
        <f ca="1">RAND()&lt;=参数表!$B$10</f>
        <v>0</v>
      </c>
      <c r="U9" s="1">
        <v>0</v>
      </c>
      <c r="V9" s="1">
        <f t="shared" si="11"/>
        <v>6</v>
      </c>
      <c r="W9" s="1">
        <f t="shared" si="15"/>
        <v>0</v>
      </c>
      <c r="X9" s="1">
        <f t="shared" si="12"/>
        <v>0</v>
      </c>
      <c r="Z9" s="1">
        <f>爱更换!N9-N9</f>
        <v>327</v>
      </c>
    </row>
    <row r="10" customHeight="1" spans="1:26">
      <c r="A10" s="1">
        <v>8</v>
      </c>
      <c r="B10" s="1">
        <v>2</v>
      </c>
      <c r="C10" s="1">
        <f t="shared" si="1"/>
        <v>3</v>
      </c>
      <c r="D10" s="1">
        <f t="shared" si="2"/>
        <v>0</v>
      </c>
      <c r="E10" s="1">
        <f t="shared" si="3"/>
        <v>0</v>
      </c>
      <c r="F10" s="1">
        <f t="shared" si="13"/>
        <v>0</v>
      </c>
      <c r="G10" s="1">
        <f>IF(W10=1,参数表!$B$7,IF(AND(C10&gt;=3,D10&gt;=3,E10&gt;=3),参数表!$B$6,IF(OR(C10&gt;=3,D10&gt;=3,E10&gt;=3),参数表!$B$6,IF(OR(C10&gt;=2,D10&gt;=2,E10&gt;=2),参数表!$B$5*2,IF(OR(C10&gt;=1,D10&gt;=1,E10&gt;=1),参数表!$B$5,0)))))</f>
        <v>0.35</v>
      </c>
      <c r="H10" s="1">
        <f t="shared" si="4"/>
        <v>1</v>
      </c>
      <c r="I10" s="1">
        <f>参数表!$B$2*(1-G10)</f>
        <v>9.75</v>
      </c>
      <c r="J10" s="1">
        <f t="shared" si="5"/>
        <v>2</v>
      </c>
      <c r="K10" s="1">
        <f>参数表!$B$3</f>
        <v>150</v>
      </c>
      <c r="L10" s="1">
        <f>K10*(1+G10)*(1-H10*参数表!$B$13)</f>
        <v>162</v>
      </c>
      <c r="M10" s="1">
        <f t="shared" si="6"/>
        <v>324</v>
      </c>
      <c r="N10" s="1">
        <f t="shared" si="7"/>
        <v>1782</v>
      </c>
      <c r="O10" s="1">
        <f t="shared" si="14"/>
        <v>1</v>
      </c>
      <c r="P10" s="1">
        <f t="shared" si="8"/>
        <v>0</v>
      </c>
      <c r="Q10" s="1">
        <f t="shared" si="9"/>
        <v>0</v>
      </c>
      <c r="R10" s="1">
        <f t="shared" si="10"/>
        <v>450</v>
      </c>
      <c r="S10" s="1">
        <f t="shared" si="0"/>
        <v>432</v>
      </c>
      <c r="T10" s="1" t="b">
        <f ca="1">RAND()&lt;=参数表!$B$10</f>
        <v>0</v>
      </c>
      <c r="U10" s="1">
        <v>0</v>
      </c>
      <c r="V10" s="1">
        <f t="shared" si="11"/>
        <v>7</v>
      </c>
      <c r="W10" s="1">
        <f t="shared" si="15"/>
        <v>0</v>
      </c>
      <c r="X10" s="1">
        <f t="shared" si="12"/>
        <v>0</v>
      </c>
      <c r="Z10" s="1">
        <f>爱更换!N10-N10</f>
        <v>408</v>
      </c>
    </row>
    <row r="11" customHeight="1" spans="1:26">
      <c r="A11" s="1">
        <v>9</v>
      </c>
      <c r="B11" s="1">
        <v>2</v>
      </c>
      <c r="C11" s="1">
        <f t="shared" si="1"/>
        <v>3</v>
      </c>
      <c r="D11" s="1">
        <f t="shared" si="2"/>
        <v>0</v>
      </c>
      <c r="E11" s="1">
        <f t="shared" si="3"/>
        <v>0</v>
      </c>
      <c r="F11" s="1">
        <f t="shared" si="13"/>
        <v>0</v>
      </c>
      <c r="G11" s="1">
        <f>IF(W11=1,参数表!$B$7,IF(AND(C11&gt;=3,D11&gt;=3,E11&gt;=3),参数表!$B$6,IF(OR(C11&gt;=3,D11&gt;=3,E11&gt;=3),参数表!$B$6,IF(OR(C11&gt;=2,D11&gt;=2,E11&gt;=2),参数表!$B$5*2,IF(OR(C11&gt;=1,D11&gt;=1,E11&gt;=1),参数表!$B$5,0)))))</f>
        <v>0.35</v>
      </c>
      <c r="H11" s="1">
        <f t="shared" si="4"/>
        <v>1</v>
      </c>
      <c r="I11" s="1">
        <f>参数表!$B$2*(1-G11)</f>
        <v>9.75</v>
      </c>
      <c r="J11" s="1">
        <f t="shared" si="5"/>
        <v>2</v>
      </c>
      <c r="K11" s="1">
        <f>参数表!$B$3</f>
        <v>150</v>
      </c>
      <c r="L11" s="1">
        <f>K11*(1+G11)*(1-H11*参数表!$B$13)</f>
        <v>162</v>
      </c>
      <c r="M11" s="1">
        <f t="shared" si="6"/>
        <v>324</v>
      </c>
      <c r="N11" s="1">
        <f t="shared" si="7"/>
        <v>2106</v>
      </c>
      <c r="O11" s="1">
        <f t="shared" si="14"/>
        <v>0</v>
      </c>
      <c r="P11" s="1">
        <f t="shared" si="8"/>
        <v>0</v>
      </c>
      <c r="Q11" s="1">
        <f t="shared" si="9"/>
        <v>0</v>
      </c>
      <c r="R11" s="1">
        <f t="shared" si="10"/>
        <v>0</v>
      </c>
      <c r="S11" s="1">
        <f t="shared" si="0"/>
        <v>756</v>
      </c>
      <c r="T11" s="1" t="b">
        <f ca="1">RAND()&lt;=参数表!$B$10</f>
        <v>0</v>
      </c>
      <c r="U11" s="1">
        <v>0</v>
      </c>
      <c r="V11" s="1">
        <f t="shared" si="11"/>
        <v>8</v>
      </c>
      <c r="W11" s="1">
        <f t="shared" si="15"/>
        <v>0</v>
      </c>
      <c r="X11" s="1">
        <f t="shared" si="12"/>
        <v>0</v>
      </c>
      <c r="Z11" s="1">
        <f>爱更换!N11-N11</f>
        <v>489</v>
      </c>
    </row>
    <row r="12" customHeight="1" spans="1:26">
      <c r="A12" s="1">
        <v>10</v>
      </c>
      <c r="B12" s="1">
        <v>2</v>
      </c>
      <c r="C12" s="1">
        <f t="shared" si="1"/>
        <v>3</v>
      </c>
      <c r="D12" s="1">
        <f t="shared" si="2"/>
        <v>0</v>
      </c>
      <c r="E12" s="1">
        <f t="shared" si="3"/>
        <v>0</v>
      </c>
      <c r="F12" s="1">
        <f t="shared" ref="F12:F32" si="16">IF(F11=1,1,IF(AND(C11&gt;=3,D11&gt;=3,E11&gt;=3),1,0))</f>
        <v>0</v>
      </c>
      <c r="G12" s="1">
        <f>IF(W12=1,参数表!$B$7,IF(AND(C12&gt;=3,D12&gt;=3,E12&gt;=3),参数表!$B$6,IF(OR(C12&gt;=3,D12&gt;=3,E12&gt;=3),参数表!$B$6,IF(OR(C12&gt;=2,D12&gt;=2,E12&gt;=2),参数表!$B$5*2,IF(OR(C12&gt;=1,D12&gt;=1,E12&gt;=1),参数表!$B$5,0)))))</f>
        <v>0.35</v>
      </c>
      <c r="H12" s="1">
        <f t="shared" ref="H12:H32" si="17">IF(V12&gt;=2,1,0)</f>
        <v>1</v>
      </c>
      <c r="I12" s="1">
        <f>参数表!$B$2*(1-G12)</f>
        <v>9.75</v>
      </c>
      <c r="J12" s="1">
        <f t="shared" ref="J12:J32" si="18">MIN(2,ROUNDDOWN(24/I12,0))</f>
        <v>2</v>
      </c>
      <c r="K12" s="1">
        <f>参数表!$B$3</f>
        <v>150</v>
      </c>
      <c r="L12" s="1">
        <f>K12*(1+G12)*(1-H12*参数表!$B$13)</f>
        <v>162</v>
      </c>
      <c r="M12" s="1">
        <f t="shared" ref="M12:M32" si="19">L12*J12</f>
        <v>324</v>
      </c>
      <c r="N12" s="1">
        <f t="shared" ref="N12:N32" si="20">N11+M12</f>
        <v>2430</v>
      </c>
      <c r="O12" s="1">
        <f t="shared" si="14"/>
        <v>0</v>
      </c>
      <c r="P12" s="1">
        <f t="shared" si="8"/>
        <v>1</v>
      </c>
      <c r="Q12" s="1">
        <f t="shared" si="9"/>
        <v>0</v>
      </c>
      <c r="R12" s="1">
        <f t="shared" si="10"/>
        <v>450</v>
      </c>
      <c r="S12" s="1">
        <f t="shared" ref="S12:S32" si="21">S11+M12-R12</f>
        <v>630</v>
      </c>
      <c r="T12" s="1" t="b">
        <f ca="1">RAND()&lt;=参数表!$B$10</f>
        <v>0</v>
      </c>
      <c r="U12" s="1">
        <v>0</v>
      </c>
      <c r="V12" s="1">
        <f t="shared" ref="V12:V32" si="22">IF(U12=1,0,V11+1)</f>
        <v>9</v>
      </c>
      <c r="W12" s="1">
        <f t="shared" si="15"/>
        <v>0</v>
      </c>
      <c r="X12" s="1">
        <f t="shared" si="12"/>
        <v>0</v>
      </c>
      <c r="Z12" s="1">
        <f>爱更换!N12-N12</f>
        <v>570</v>
      </c>
    </row>
    <row r="13" customHeight="1" spans="1:26">
      <c r="A13" s="1">
        <v>11</v>
      </c>
      <c r="B13" s="1">
        <v>2</v>
      </c>
      <c r="C13" s="1">
        <f t="shared" si="1"/>
        <v>3</v>
      </c>
      <c r="D13" s="1">
        <f t="shared" si="2"/>
        <v>1</v>
      </c>
      <c r="E13" s="1">
        <f t="shared" si="3"/>
        <v>0</v>
      </c>
      <c r="F13" s="1">
        <f t="shared" si="16"/>
        <v>0</v>
      </c>
      <c r="G13" s="1">
        <f>IF(W13=1,参数表!$B$7,IF(AND(C13&gt;=3,D13&gt;=3,E13&gt;=3),参数表!$B$6,IF(OR(C13&gt;=3,D13&gt;=3,E13&gt;=3),参数表!$B$6,IF(OR(C13&gt;=2,D13&gt;=2,E13&gt;=2),参数表!$B$5*2,IF(OR(C13&gt;=1,D13&gt;=1,E13&gt;=1),参数表!$B$5,0)))))</f>
        <v>0.35</v>
      </c>
      <c r="H13" s="1">
        <f t="shared" si="17"/>
        <v>1</v>
      </c>
      <c r="I13" s="1">
        <f>参数表!$B$2*(1-G13)</f>
        <v>9.75</v>
      </c>
      <c r="J13" s="1">
        <f t="shared" si="18"/>
        <v>2</v>
      </c>
      <c r="K13" s="1">
        <f>参数表!$B$3</f>
        <v>150</v>
      </c>
      <c r="L13" s="1">
        <f>K13*(1+G13)*(1-H13*参数表!$B$13)</f>
        <v>162</v>
      </c>
      <c r="M13" s="1">
        <f t="shared" si="19"/>
        <v>324</v>
      </c>
      <c r="N13" s="1">
        <f t="shared" si="20"/>
        <v>2754</v>
      </c>
      <c r="O13" s="1">
        <f t="shared" si="14"/>
        <v>0</v>
      </c>
      <c r="P13" s="1">
        <f t="shared" si="8"/>
        <v>1</v>
      </c>
      <c r="Q13" s="1">
        <f t="shared" si="9"/>
        <v>0</v>
      </c>
      <c r="R13" s="1">
        <f t="shared" si="10"/>
        <v>450</v>
      </c>
      <c r="S13" s="1">
        <f t="shared" si="21"/>
        <v>504</v>
      </c>
      <c r="T13" s="1" t="b">
        <f ca="1">RAND()&lt;=参数表!$B$10</f>
        <v>0</v>
      </c>
      <c r="U13" s="1">
        <v>0</v>
      </c>
      <c r="V13" s="1">
        <f t="shared" si="22"/>
        <v>10</v>
      </c>
      <c r="W13" s="1">
        <f t="shared" si="15"/>
        <v>0</v>
      </c>
      <c r="X13" s="1">
        <f t="shared" si="12"/>
        <v>0</v>
      </c>
      <c r="Z13" s="1">
        <f>爱更换!N13-N13</f>
        <v>651</v>
      </c>
    </row>
    <row r="14" customHeight="1" spans="1:26">
      <c r="A14" s="1">
        <v>12</v>
      </c>
      <c r="B14" s="1">
        <v>2</v>
      </c>
      <c r="C14" s="1">
        <f t="shared" si="1"/>
        <v>3</v>
      </c>
      <c r="D14" s="1">
        <f t="shared" si="2"/>
        <v>2</v>
      </c>
      <c r="E14" s="1">
        <f t="shared" si="3"/>
        <v>0</v>
      </c>
      <c r="F14" s="1">
        <f t="shared" si="16"/>
        <v>0</v>
      </c>
      <c r="G14" s="1">
        <f>IF(W14=1,参数表!$B$7,IF(AND(C14&gt;=3,D14&gt;=3,E14&gt;=3),参数表!$B$6,IF(OR(C14&gt;=3,D14&gt;=3,E14&gt;=3),参数表!$B$6,IF(OR(C14&gt;=2,D14&gt;=2,E14&gt;=2),参数表!$B$5*2,IF(OR(C14&gt;=1,D14&gt;=1,E14&gt;=1),参数表!$B$5,0)))))</f>
        <v>0.35</v>
      </c>
      <c r="H14" s="1">
        <f t="shared" si="17"/>
        <v>1</v>
      </c>
      <c r="I14" s="1">
        <f>参数表!$B$2*(1-G14)</f>
        <v>9.75</v>
      </c>
      <c r="J14" s="1">
        <f t="shared" si="18"/>
        <v>2</v>
      </c>
      <c r="K14" s="1">
        <f>参数表!$B$3</f>
        <v>150</v>
      </c>
      <c r="L14" s="1">
        <f>K14*(1+G14)*(1-H14*参数表!$B$13)</f>
        <v>162</v>
      </c>
      <c r="M14" s="1">
        <f t="shared" si="19"/>
        <v>324</v>
      </c>
      <c r="N14" s="1">
        <f t="shared" si="20"/>
        <v>3078</v>
      </c>
      <c r="O14" s="1">
        <f t="shared" si="14"/>
        <v>0</v>
      </c>
      <c r="P14" s="1">
        <f t="shared" si="8"/>
        <v>1</v>
      </c>
      <c r="Q14" s="1">
        <f t="shared" si="9"/>
        <v>0</v>
      </c>
      <c r="R14" s="1">
        <f t="shared" si="10"/>
        <v>450</v>
      </c>
      <c r="S14" s="1">
        <f t="shared" si="21"/>
        <v>378</v>
      </c>
      <c r="T14" s="1" t="b">
        <f ca="1">RAND()&lt;=参数表!$B$10</f>
        <v>0</v>
      </c>
      <c r="U14" s="1">
        <v>0</v>
      </c>
      <c r="V14" s="1">
        <f t="shared" si="22"/>
        <v>11</v>
      </c>
      <c r="W14" s="1">
        <f t="shared" si="15"/>
        <v>0</v>
      </c>
      <c r="X14" s="1">
        <f t="shared" si="12"/>
        <v>0</v>
      </c>
      <c r="Z14" s="1">
        <f>爱更换!N14-N14</f>
        <v>732</v>
      </c>
    </row>
    <row r="15" customHeight="1" spans="1:26">
      <c r="A15" s="1">
        <v>13</v>
      </c>
      <c r="B15" s="1">
        <v>2</v>
      </c>
      <c r="C15" s="1">
        <f t="shared" si="1"/>
        <v>3</v>
      </c>
      <c r="D15" s="1">
        <f t="shared" si="2"/>
        <v>3</v>
      </c>
      <c r="E15" s="1">
        <f t="shared" si="3"/>
        <v>0</v>
      </c>
      <c r="F15" s="1">
        <f t="shared" si="16"/>
        <v>0</v>
      </c>
      <c r="G15" s="1">
        <f>IF(W15=1,参数表!$B$7,IF(AND(C15&gt;=3,D15&gt;=3,E15&gt;=3),参数表!$B$6,IF(OR(C15&gt;=3,D15&gt;=3,E15&gt;=3),参数表!$B$6,IF(OR(C15&gt;=2,D15&gt;=2,E15&gt;=2),参数表!$B$5*2,IF(OR(C15&gt;=1,D15&gt;=1,E15&gt;=1),参数表!$B$5,0)))))</f>
        <v>0.35</v>
      </c>
      <c r="H15" s="1">
        <f t="shared" si="17"/>
        <v>1</v>
      </c>
      <c r="I15" s="1">
        <f>参数表!$B$2*(1-G15)</f>
        <v>9.75</v>
      </c>
      <c r="J15" s="1">
        <f t="shared" si="18"/>
        <v>2</v>
      </c>
      <c r="K15" s="1">
        <f>参数表!$B$3</f>
        <v>150</v>
      </c>
      <c r="L15" s="1">
        <f>K15*(1+G15)*(1-H15*参数表!$B$13)</f>
        <v>162</v>
      </c>
      <c r="M15" s="1">
        <f t="shared" si="19"/>
        <v>324</v>
      </c>
      <c r="N15" s="1">
        <f t="shared" si="20"/>
        <v>3402</v>
      </c>
      <c r="O15" s="1">
        <f t="shared" si="14"/>
        <v>0</v>
      </c>
      <c r="P15" s="1">
        <f t="shared" si="8"/>
        <v>0</v>
      </c>
      <c r="Q15" s="1">
        <f t="shared" si="9"/>
        <v>0</v>
      </c>
      <c r="R15" s="1">
        <f t="shared" si="10"/>
        <v>0</v>
      </c>
      <c r="S15" s="1">
        <f t="shared" si="21"/>
        <v>702</v>
      </c>
      <c r="T15" s="1" t="b">
        <f ca="1">RAND()&lt;=参数表!$B$10</f>
        <v>0</v>
      </c>
      <c r="U15" s="1">
        <v>0</v>
      </c>
      <c r="V15" s="1">
        <f t="shared" si="22"/>
        <v>12</v>
      </c>
      <c r="W15" s="1">
        <f t="shared" si="15"/>
        <v>0</v>
      </c>
      <c r="X15" s="1">
        <f t="shared" si="12"/>
        <v>0</v>
      </c>
      <c r="Z15" s="1">
        <f>爱更换!N15-N15</f>
        <v>813</v>
      </c>
    </row>
    <row r="16" customHeight="1" spans="1:26">
      <c r="A16" s="1">
        <v>14</v>
      </c>
      <c r="B16" s="1">
        <v>2</v>
      </c>
      <c r="C16" s="1">
        <f t="shared" si="1"/>
        <v>3</v>
      </c>
      <c r="D16" s="1">
        <f t="shared" si="2"/>
        <v>3</v>
      </c>
      <c r="E16" s="1">
        <f t="shared" si="3"/>
        <v>0</v>
      </c>
      <c r="F16" s="1">
        <f t="shared" si="16"/>
        <v>0</v>
      </c>
      <c r="G16" s="1">
        <f>IF(W16=1,参数表!$B$7,IF(AND(C16&gt;=3,D16&gt;=3,E16&gt;=3),参数表!$B$6,IF(OR(C16&gt;=3,D16&gt;=3,E16&gt;=3),参数表!$B$6,IF(OR(C16&gt;=2,D16&gt;=2,E16&gt;=2),参数表!$B$5*2,IF(OR(C16&gt;=1,D16&gt;=1,E16&gt;=1),参数表!$B$5,0)))))</f>
        <v>0.35</v>
      </c>
      <c r="H16" s="1">
        <f t="shared" si="17"/>
        <v>1</v>
      </c>
      <c r="I16" s="1">
        <f>参数表!$B$2*(1-G16)</f>
        <v>9.75</v>
      </c>
      <c r="J16" s="1">
        <f t="shared" si="18"/>
        <v>2</v>
      </c>
      <c r="K16" s="1">
        <f>参数表!$B$3</f>
        <v>150</v>
      </c>
      <c r="L16" s="1">
        <f>K16*(1+G16)*(1-H16*参数表!$B$13)</f>
        <v>162</v>
      </c>
      <c r="M16" s="1">
        <f t="shared" si="19"/>
        <v>324</v>
      </c>
      <c r="N16" s="1">
        <f t="shared" si="20"/>
        <v>3726</v>
      </c>
      <c r="O16" s="1">
        <f t="shared" si="14"/>
        <v>0</v>
      </c>
      <c r="P16" s="1">
        <f t="shared" si="8"/>
        <v>0</v>
      </c>
      <c r="Q16" s="1">
        <f t="shared" si="9"/>
        <v>1</v>
      </c>
      <c r="R16" s="1">
        <f t="shared" si="10"/>
        <v>450</v>
      </c>
      <c r="S16" s="1">
        <f t="shared" si="21"/>
        <v>576</v>
      </c>
      <c r="T16" s="1" t="b">
        <f ca="1">RAND()&lt;=参数表!$B$10</f>
        <v>0</v>
      </c>
      <c r="U16" s="1">
        <v>0</v>
      </c>
      <c r="V16" s="1">
        <f t="shared" si="22"/>
        <v>13</v>
      </c>
      <c r="W16" s="1">
        <f t="shared" si="15"/>
        <v>0</v>
      </c>
      <c r="X16" s="1">
        <f t="shared" si="12"/>
        <v>0</v>
      </c>
      <c r="Z16" s="1">
        <f>爱更换!N16-N16</f>
        <v>894</v>
      </c>
    </row>
    <row r="17" customHeight="1" spans="1:26">
      <c r="A17" s="1">
        <v>15</v>
      </c>
      <c r="B17" s="1">
        <v>2</v>
      </c>
      <c r="C17" s="1">
        <f t="shared" si="1"/>
        <v>3</v>
      </c>
      <c r="D17" s="1">
        <f t="shared" si="2"/>
        <v>3</v>
      </c>
      <c r="E17" s="1">
        <f t="shared" si="3"/>
        <v>1</v>
      </c>
      <c r="F17" s="1">
        <f t="shared" si="16"/>
        <v>0</v>
      </c>
      <c r="G17" s="1">
        <f>IF(W17=1,参数表!$B$7,IF(AND(C17&gt;=3,D17&gt;=3,E17&gt;=3),参数表!$B$6,IF(OR(C17&gt;=3,D17&gt;=3,E17&gt;=3),参数表!$B$6,IF(OR(C17&gt;=2,D17&gt;=2,E17&gt;=2),参数表!$B$5*2,IF(OR(C17&gt;=1,D17&gt;=1,E17&gt;=1),参数表!$B$5,0)))))</f>
        <v>0.35</v>
      </c>
      <c r="H17" s="1">
        <f t="shared" si="17"/>
        <v>1</v>
      </c>
      <c r="I17" s="1">
        <f>参数表!$B$2*(1-G17)</f>
        <v>9.75</v>
      </c>
      <c r="J17" s="1">
        <f t="shared" si="18"/>
        <v>2</v>
      </c>
      <c r="K17" s="1">
        <f>参数表!$B$3</f>
        <v>150</v>
      </c>
      <c r="L17" s="1">
        <f>K17*(1+G17)*(1-H17*参数表!$B$13)</f>
        <v>162</v>
      </c>
      <c r="M17" s="1">
        <f t="shared" si="19"/>
        <v>324</v>
      </c>
      <c r="N17" s="1">
        <f t="shared" si="20"/>
        <v>4050</v>
      </c>
      <c r="O17" s="1">
        <f t="shared" si="14"/>
        <v>0</v>
      </c>
      <c r="P17" s="1">
        <f t="shared" si="8"/>
        <v>0</v>
      </c>
      <c r="Q17" s="1">
        <f t="shared" si="9"/>
        <v>1</v>
      </c>
      <c r="R17" s="1">
        <f t="shared" si="10"/>
        <v>450</v>
      </c>
      <c r="S17" s="1">
        <f t="shared" si="21"/>
        <v>450</v>
      </c>
      <c r="T17" s="1" t="b">
        <f ca="1">RAND()&lt;=参数表!$B$10</f>
        <v>0</v>
      </c>
      <c r="U17" s="1">
        <v>0</v>
      </c>
      <c r="V17" s="1">
        <f t="shared" si="22"/>
        <v>14</v>
      </c>
      <c r="W17" s="1">
        <f t="shared" si="15"/>
        <v>0</v>
      </c>
      <c r="X17" s="1">
        <f t="shared" si="12"/>
        <v>0</v>
      </c>
      <c r="Z17" s="1">
        <f>爱更换!N17-N17</f>
        <v>975</v>
      </c>
    </row>
    <row r="18" customHeight="1" spans="1:26">
      <c r="A18" s="1">
        <v>16</v>
      </c>
      <c r="B18" s="1">
        <v>2</v>
      </c>
      <c r="C18" s="1">
        <f t="shared" si="1"/>
        <v>3</v>
      </c>
      <c r="D18" s="1">
        <f t="shared" si="2"/>
        <v>3</v>
      </c>
      <c r="E18" s="1">
        <f t="shared" si="3"/>
        <v>2</v>
      </c>
      <c r="F18" s="1">
        <f t="shared" si="16"/>
        <v>0</v>
      </c>
      <c r="G18" s="1">
        <f>IF(W18=1,参数表!$B$7,IF(AND(C18&gt;=3,D18&gt;=3,E18&gt;=3),参数表!$B$6,IF(OR(C18&gt;=3,D18&gt;=3,E18&gt;=3),参数表!$B$6,IF(OR(C18&gt;=2,D18&gt;=2,E18&gt;=2),参数表!$B$5*2,IF(OR(C18&gt;=1,D18&gt;=1,E18&gt;=1),参数表!$B$5,0)))))</f>
        <v>0.35</v>
      </c>
      <c r="H18" s="1">
        <f t="shared" si="17"/>
        <v>1</v>
      </c>
      <c r="I18" s="1">
        <f>参数表!$B$2*(1-G18)</f>
        <v>9.75</v>
      </c>
      <c r="J18" s="1">
        <f t="shared" si="18"/>
        <v>2</v>
      </c>
      <c r="K18" s="1">
        <f>参数表!$B$3</f>
        <v>150</v>
      </c>
      <c r="L18" s="1">
        <f>K18*(1+G18)*(1-H18*参数表!$B$13)</f>
        <v>162</v>
      </c>
      <c r="M18" s="1">
        <f t="shared" si="19"/>
        <v>324</v>
      </c>
      <c r="N18" s="1">
        <f t="shared" si="20"/>
        <v>4374</v>
      </c>
      <c r="O18" s="1">
        <f t="shared" si="14"/>
        <v>0</v>
      </c>
      <c r="P18" s="1">
        <f t="shared" si="8"/>
        <v>0</v>
      </c>
      <c r="Q18" s="1">
        <f t="shared" si="9"/>
        <v>1</v>
      </c>
      <c r="R18" s="1">
        <f t="shared" si="10"/>
        <v>450</v>
      </c>
      <c r="S18" s="1">
        <f t="shared" si="21"/>
        <v>324</v>
      </c>
      <c r="T18" s="1" t="b">
        <f ca="1">RAND()&lt;=参数表!$B$10</f>
        <v>0</v>
      </c>
      <c r="U18" s="1">
        <v>0</v>
      </c>
      <c r="V18" s="1">
        <f t="shared" si="22"/>
        <v>15</v>
      </c>
      <c r="W18" s="1">
        <f t="shared" si="15"/>
        <v>0</v>
      </c>
      <c r="X18" s="1">
        <f t="shared" si="12"/>
        <v>0</v>
      </c>
      <c r="Z18" s="1">
        <f>爱更换!N18-N18</f>
        <v>1056</v>
      </c>
    </row>
    <row r="19" customHeight="1" spans="1:26">
      <c r="A19" s="1">
        <v>17</v>
      </c>
      <c r="B19" s="1">
        <v>2</v>
      </c>
      <c r="C19" s="1">
        <f t="shared" si="1"/>
        <v>3</v>
      </c>
      <c r="D19" s="1">
        <f t="shared" si="2"/>
        <v>3</v>
      </c>
      <c r="E19" s="1">
        <f t="shared" si="3"/>
        <v>3</v>
      </c>
      <c r="F19" s="1">
        <f t="shared" si="16"/>
        <v>0</v>
      </c>
      <c r="G19" s="1">
        <f>IF(W19=1,参数表!$B$7,IF(AND(C19&gt;=3,D19&gt;=3,E19&gt;=3),参数表!$B$6,IF(OR(C19&gt;=3,D19&gt;=3,E19&gt;=3),参数表!$B$6,IF(OR(C19&gt;=2,D19&gt;=2,E19&gt;=2),参数表!$B$5*2,IF(OR(C19&gt;=1,D19&gt;=1,E19&gt;=1),参数表!$B$5,0)))))</f>
        <v>0.35</v>
      </c>
      <c r="H19" s="1">
        <f t="shared" si="17"/>
        <v>1</v>
      </c>
      <c r="I19" s="1">
        <f>参数表!$B$2*(1-G19)</f>
        <v>9.75</v>
      </c>
      <c r="J19" s="1">
        <f t="shared" si="18"/>
        <v>2</v>
      </c>
      <c r="K19" s="1">
        <f>参数表!$B$3</f>
        <v>150</v>
      </c>
      <c r="L19" s="1">
        <f>K19*(1+G19)*(1-H19*参数表!$B$13)</f>
        <v>162</v>
      </c>
      <c r="M19" s="1">
        <f t="shared" si="19"/>
        <v>324</v>
      </c>
      <c r="N19" s="1">
        <f t="shared" si="20"/>
        <v>4698</v>
      </c>
      <c r="O19" s="1">
        <f t="shared" si="14"/>
        <v>0</v>
      </c>
      <c r="P19" s="1">
        <f t="shared" si="8"/>
        <v>0</v>
      </c>
      <c r="Q19" s="1">
        <f t="shared" si="9"/>
        <v>0</v>
      </c>
      <c r="R19" s="1">
        <f t="shared" si="10"/>
        <v>0</v>
      </c>
      <c r="S19" s="1">
        <f t="shared" si="21"/>
        <v>648</v>
      </c>
      <c r="T19" s="1" t="b">
        <f ca="1">RAND()&lt;=参数表!$B$10</f>
        <v>0</v>
      </c>
      <c r="U19" s="1">
        <v>0</v>
      </c>
      <c r="V19" s="1">
        <f t="shared" si="22"/>
        <v>16</v>
      </c>
      <c r="W19" s="1">
        <f t="shared" si="15"/>
        <v>0</v>
      </c>
      <c r="X19" s="1">
        <f t="shared" si="12"/>
        <v>0</v>
      </c>
      <c r="Z19" s="1">
        <f>爱更换!N19-N19</f>
        <v>1137</v>
      </c>
    </row>
    <row r="20" customHeight="1" spans="1:26">
      <c r="A20" s="1">
        <v>18</v>
      </c>
      <c r="B20" s="1">
        <v>2</v>
      </c>
      <c r="C20" s="1">
        <f t="shared" si="1"/>
        <v>3</v>
      </c>
      <c r="D20" s="1">
        <f t="shared" si="2"/>
        <v>3</v>
      </c>
      <c r="E20" s="1">
        <f t="shared" si="3"/>
        <v>3</v>
      </c>
      <c r="F20" s="1">
        <f t="shared" si="16"/>
        <v>1</v>
      </c>
      <c r="G20" s="1">
        <f>IF(W20=1,参数表!$B$7,IF(AND(C20&gt;=3,D20&gt;=3,E20&gt;=3),参数表!$B$6,IF(OR(C20&gt;=3,D20&gt;=3,E20&gt;=3),参数表!$B$6,IF(OR(C20&gt;=2,D20&gt;=2,E20&gt;=2),参数表!$B$5*2,IF(OR(C20&gt;=1,D20&gt;=1,E20&gt;=1),参数表!$B$5,0)))))</f>
        <v>0.35</v>
      </c>
      <c r="H20" s="1">
        <f t="shared" si="17"/>
        <v>1</v>
      </c>
      <c r="I20" s="1">
        <f>参数表!$B$2*(1-G20)</f>
        <v>9.75</v>
      </c>
      <c r="J20" s="1">
        <f t="shared" si="18"/>
        <v>2</v>
      </c>
      <c r="K20" s="1">
        <f>参数表!$B$3</f>
        <v>150</v>
      </c>
      <c r="L20" s="1">
        <f>K20*(1+G20)*(1-H20*参数表!$B$13)</f>
        <v>162</v>
      </c>
      <c r="M20" s="1">
        <f t="shared" si="19"/>
        <v>324</v>
      </c>
      <c r="N20" s="1">
        <f t="shared" si="20"/>
        <v>5022</v>
      </c>
      <c r="O20" s="1">
        <f t="shared" si="14"/>
        <v>0</v>
      </c>
      <c r="P20" s="1">
        <f t="shared" si="8"/>
        <v>0</v>
      </c>
      <c r="Q20" s="1">
        <f t="shared" si="9"/>
        <v>0</v>
      </c>
      <c r="R20" s="1">
        <f t="shared" si="10"/>
        <v>0</v>
      </c>
      <c r="S20" s="1">
        <f t="shared" si="21"/>
        <v>972</v>
      </c>
      <c r="T20" s="1" t="b">
        <f ca="1">RAND()&lt;=参数表!$B$10</f>
        <v>0</v>
      </c>
      <c r="U20" s="1">
        <v>0</v>
      </c>
      <c r="V20" s="1">
        <f t="shared" si="22"/>
        <v>17</v>
      </c>
      <c r="W20" s="1">
        <f t="shared" si="15"/>
        <v>0</v>
      </c>
      <c r="X20" s="1">
        <f t="shared" si="12"/>
        <v>0</v>
      </c>
      <c r="Z20" s="1">
        <f>爱更换!N20-N20</f>
        <v>1218</v>
      </c>
    </row>
    <row r="21" customHeight="1" spans="1:26">
      <c r="A21" s="1">
        <v>19</v>
      </c>
      <c r="B21" s="1">
        <v>2</v>
      </c>
      <c r="C21" s="1">
        <f t="shared" si="1"/>
        <v>3</v>
      </c>
      <c r="D21" s="1">
        <f t="shared" si="2"/>
        <v>3</v>
      </c>
      <c r="E21" s="1">
        <f t="shared" si="3"/>
        <v>3</v>
      </c>
      <c r="F21" s="1">
        <f t="shared" si="16"/>
        <v>1</v>
      </c>
      <c r="G21" s="1">
        <f>IF(W21=1,参数表!$B$7,IF(AND(C21&gt;=3,D21&gt;=3,E21&gt;=3),参数表!$B$6,IF(OR(C21&gt;=3,D21&gt;=3,E21&gt;=3),参数表!$B$6,IF(OR(C21&gt;=2,D21&gt;=2,E21&gt;=2),参数表!$B$5*2,IF(OR(C21&gt;=1,D21&gt;=1,E21&gt;=1),参数表!$B$5,0)))))</f>
        <v>0.35</v>
      </c>
      <c r="H21" s="1">
        <f t="shared" si="17"/>
        <v>1</v>
      </c>
      <c r="I21" s="1">
        <f>参数表!$B$2*(1-G21)</f>
        <v>9.75</v>
      </c>
      <c r="J21" s="1">
        <f t="shared" si="18"/>
        <v>2</v>
      </c>
      <c r="K21" s="1">
        <f>参数表!$B$3</f>
        <v>150</v>
      </c>
      <c r="L21" s="1">
        <f>K21*(1+G21)*(1-H21*参数表!$B$13)</f>
        <v>162</v>
      </c>
      <c r="M21" s="1">
        <f t="shared" si="19"/>
        <v>324</v>
      </c>
      <c r="N21" s="1">
        <f t="shared" si="20"/>
        <v>5346</v>
      </c>
      <c r="O21" s="1">
        <f t="shared" si="14"/>
        <v>0</v>
      </c>
      <c r="P21" s="1">
        <f t="shared" si="8"/>
        <v>0</v>
      </c>
      <c r="Q21" s="1">
        <f t="shared" si="9"/>
        <v>0</v>
      </c>
      <c r="R21" s="1">
        <f t="shared" si="10"/>
        <v>0</v>
      </c>
      <c r="S21" s="1">
        <f t="shared" si="21"/>
        <v>1296</v>
      </c>
      <c r="T21" s="1" t="b">
        <f ca="1">RAND()&lt;=参数表!$B$10</f>
        <v>0</v>
      </c>
      <c r="U21" s="1">
        <v>0</v>
      </c>
      <c r="V21" s="1">
        <f t="shared" si="22"/>
        <v>18</v>
      </c>
      <c r="W21" s="1">
        <f t="shared" si="15"/>
        <v>0</v>
      </c>
      <c r="X21" s="1">
        <f t="shared" si="12"/>
        <v>0</v>
      </c>
      <c r="Z21" s="1">
        <f>爱更换!N21-N21</f>
        <v>1344</v>
      </c>
    </row>
    <row r="22" customHeight="1" spans="1:26">
      <c r="A22" s="1">
        <v>20</v>
      </c>
      <c r="B22" s="1">
        <v>2</v>
      </c>
      <c r="C22" s="1">
        <f t="shared" si="1"/>
        <v>3</v>
      </c>
      <c r="D22" s="1">
        <f t="shared" si="2"/>
        <v>3</v>
      </c>
      <c r="E22" s="1">
        <f t="shared" si="3"/>
        <v>3</v>
      </c>
      <c r="F22" s="1">
        <f t="shared" si="16"/>
        <v>1</v>
      </c>
      <c r="G22" s="1">
        <f>IF(W22=1,参数表!$B$7,IF(AND(C22&gt;=3,D22&gt;=3,E22&gt;=3),参数表!$B$6,IF(OR(C22&gt;=3,D22&gt;=3,E22&gt;=3),参数表!$B$6,IF(OR(C22&gt;=2,D22&gt;=2,E22&gt;=2),参数表!$B$5*2,IF(OR(C22&gt;=1,D22&gt;=1,E22&gt;=1),参数表!$B$5,0)))))</f>
        <v>0.5</v>
      </c>
      <c r="H22" s="1">
        <f t="shared" si="17"/>
        <v>1</v>
      </c>
      <c r="I22" s="1">
        <f>参数表!$B$2*(1-G22)</f>
        <v>7.5</v>
      </c>
      <c r="J22" s="1">
        <f t="shared" si="18"/>
        <v>2</v>
      </c>
      <c r="K22" s="1">
        <f>参数表!$B$3</f>
        <v>150</v>
      </c>
      <c r="L22" s="1">
        <f>K22*(1+G22)*(1-H22*参数表!$B$13)</f>
        <v>180</v>
      </c>
      <c r="M22" s="1">
        <f t="shared" si="19"/>
        <v>360</v>
      </c>
      <c r="N22" s="1">
        <f t="shared" si="20"/>
        <v>5706</v>
      </c>
      <c r="O22" s="1">
        <f t="shared" si="14"/>
        <v>0</v>
      </c>
      <c r="P22" s="1">
        <f t="shared" si="8"/>
        <v>0</v>
      </c>
      <c r="Q22" s="1">
        <f t="shared" si="9"/>
        <v>0</v>
      </c>
      <c r="R22" s="1">
        <f t="shared" si="10"/>
        <v>1000</v>
      </c>
      <c r="S22" s="1">
        <f t="shared" si="21"/>
        <v>656</v>
      </c>
      <c r="T22" s="1" t="b">
        <f ca="1">RAND()&lt;=参数表!$B$10</f>
        <v>0</v>
      </c>
      <c r="U22" s="1">
        <v>0</v>
      </c>
      <c r="V22" s="1">
        <f t="shared" si="22"/>
        <v>19</v>
      </c>
      <c r="W22" s="1">
        <f t="shared" si="15"/>
        <v>1</v>
      </c>
      <c r="X22" s="1">
        <f t="shared" si="12"/>
        <v>1</v>
      </c>
      <c r="Z22" s="1">
        <f>爱更换!N22-N22</f>
        <v>1434</v>
      </c>
    </row>
    <row r="23" customHeight="1" spans="1:26">
      <c r="A23" s="1">
        <v>21</v>
      </c>
      <c r="B23" s="1">
        <v>2</v>
      </c>
      <c r="C23" s="1">
        <f t="shared" si="1"/>
        <v>3</v>
      </c>
      <c r="D23" s="1">
        <f t="shared" si="2"/>
        <v>3</v>
      </c>
      <c r="E23" s="1">
        <f t="shared" si="3"/>
        <v>3</v>
      </c>
      <c r="F23" s="1">
        <f t="shared" si="16"/>
        <v>1</v>
      </c>
      <c r="G23" s="1">
        <f>IF(W23=1,参数表!$B$7,IF(AND(C23&gt;=3,D23&gt;=3,E23&gt;=3),参数表!$B$6,IF(OR(C23&gt;=3,D23&gt;=3,E23&gt;=3),参数表!$B$6,IF(OR(C23&gt;=2,D23&gt;=2,E23&gt;=2),参数表!$B$5*2,IF(OR(C23&gt;=1,D23&gt;=1,E23&gt;=1),参数表!$B$5,0)))))</f>
        <v>0.5</v>
      </c>
      <c r="H23" s="1">
        <f t="shared" si="17"/>
        <v>1</v>
      </c>
      <c r="I23" s="1">
        <f>参数表!$B$2*(1-G23)</f>
        <v>7.5</v>
      </c>
      <c r="J23" s="1">
        <f t="shared" si="18"/>
        <v>2</v>
      </c>
      <c r="K23" s="1">
        <f>参数表!$B$3</f>
        <v>150</v>
      </c>
      <c r="L23" s="1">
        <f>K23*(1+G23)*(1-H23*参数表!$B$13)</f>
        <v>180</v>
      </c>
      <c r="M23" s="1">
        <f t="shared" si="19"/>
        <v>360</v>
      </c>
      <c r="N23" s="1">
        <f t="shared" si="20"/>
        <v>6066</v>
      </c>
      <c r="O23" s="1">
        <f t="shared" si="14"/>
        <v>0</v>
      </c>
      <c r="P23" s="1">
        <f t="shared" si="8"/>
        <v>0</v>
      </c>
      <c r="Q23" s="1">
        <f t="shared" si="9"/>
        <v>0</v>
      </c>
      <c r="R23" s="1">
        <f t="shared" si="10"/>
        <v>0</v>
      </c>
      <c r="S23" s="1">
        <f t="shared" si="21"/>
        <v>1016</v>
      </c>
      <c r="T23" s="1" t="b">
        <f ca="1">RAND()&lt;=参数表!$B$10</f>
        <v>0</v>
      </c>
      <c r="U23" s="1">
        <v>0</v>
      </c>
      <c r="V23" s="1">
        <f t="shared" si="22"/>
        <v>20</v>
      </c>
      <c r="W23" s="1">
        <f t="shared" si="15"/>
        <v>1</v>
      </c>
      <c r="X23" s="1">
        <f t="shared" si="12"/>
        <v>0</v>
      </c>
      <c r="Z23" s="1">
        <f>爱更换!N23-N23</f>
        <v>1524</v>
      </c>
    </row>
    <row r="24" customHeight="1" spans="1:26">
      <c r="A24" s="1">
        <v>22</v>
      </c>
      <c r="B24" s="1">
        <v>2</v>
      </c>
      <c r="C24" s="1">
        <f t="shared" si="1"/>
        <v>3</v>
      </c>
      <c r="D24" s="1">
        <f t="shared" si="2"/>
        <v>3</v>
      </c>
      <c r="E24" s="1">
        <f t="shared" si="3"/>
        <v>3</v>
      </c>
      <c r="F24" s="1">
        <f t="shared" si="16"/>
        <v>1</v>
      </c>
      <c r="G24" s="1">
        <f>IF(W24=1,参数表!$B$7,IF(AND(C24&gt;=3,D24&gt;=3,E24&gt;=3),参数表!$B$6,IF(OR(C24&gt;=3,D24&gt;=3,E24&gt;=3),参数表!$B$6,IF(OR(C24&gt;=2,D24&gt;=2,E24&gt;=2),参数表!$B$5*2,IF(OR(C24&gt;=1,D24&gt;=1,E24&gt;=1),参数表!$B$5,0)))))</f>
        <v>0.5</v>
      </c>
      <c r="H24" s="1">
        <f t="shared" si="17"/>
        <v>1</v>
      </c>
      <c r="I24" s="1">
        <f>参数表!$B$2*(1-G24)</f>
        <v>7.5</v>
      </c>
      <c r="J24" s="1">
        <f t="shared" si="18"/>
        <v>2</v>
      </c>
      <c r="K24" s="1">
        <f>参数表!$B$3</f>
        <v>150</v>
      </c>
      <c r="L24" s="1">
        <f>K24*(1+G24)*(1-H24*参数表!$B$13)</f>
        <v>180</v>
      </c>
      <c r="M24" s="1">
        <f t="shared" si="19"/>
        <v>360</v>
      </c>
      <c r="N24" s="1">
        <f t="shared" si="20"/>
        <v>6426</v>
      </c>
      <c r="O24" s="1">
        <f t="shared" si="14"/>
        <v>0</v>
      </c>
      <c r="P24" s="1">
        <f t="shared" si="8"/>
        <v>0</v>
      </c>
      <c r="Q24" s="1">
        <f t="shared" si="9"/>
        <v>0</v>
      </c>
      <c r="R24" s="1">
        <f t="shared" si="10"/>
        <v>0</v>
      </c>
      <c r="S24" s="1">
        <f t="shared" si="21"/>
        <v>1376</v>
      </c>
      <c r="T24" s="1" t="b">
        <f ca="1">RAND()&lt;=参数表!$B$10</f>
        <v>0</v>
      </c>
      <c r="U24" s="1">
        <v>0</v>
      </c>
      <c r="V24" s="1">
        <f t="shared" si="22"/>
        <v>21</v>
      </c>
      <c r="W24" s="1">
        <f t="shared" si="15"/>
        <v>1</v>
      </c>
      <c r="X24" s="1">
        <f t="shared" si="12"/>
        <v>0</v>
      </c>
      <c r="Z24" s="1">
        <f>爱更换!N24-N24</f>
        <v>1614</v>
      </c>
    </row>
    <row r="25" customHeight="1" spans="1:26">
      <c r="A25" s="1">
        <v>23</v>
      </c>
      <c r="B25" s="1">
        <v>2</v>
      </c>
      <c r="C25" s="1">
        <f t="shared" si="1"/>
        <v>3</v>
      </c>
      <c r="D25" s="1">
        <f t="shared" si="2"/>
        <v>3</v>
      </c>
      <c r="E25" s="1">
        <f t="shared" si="3"/>
        <v>3</v>
      </c>
      <c r="F25" s="1">
        <f t="shared" si="16"/>
        <v>1</v>
      </c>
      <c r="G25" s="1">
        <f>IF(W25=1,参数表!$B$7,IF(AND(C25&gt;=3,D25&gt;=3,E25&gt;=3),参数表!$B$6,IF(OR(C25&gt;=3,D25&gt;=3,E25&gt;=3),参数表!$B$6,IF(OR(C25&gt;=2,D25&gt;=2,E25&gt;=2),参数表!$B$5*2,IF(OR(C25&gt;=1,D25&gt;=1,E25&gt;=1),参数表!$B$5,0)))))</f>
        <v>0.5</v>
      </c>
      <c r="H25" s="1">
        <f t="shared" si="17"/>
        <v>1</v>
      </c>
      <c r="I25" s="1">
        <f>参数表!$B$2*(1-G25)</f>
        <v>7.5</v>
      </c>
      <c r="J25" s="1">
        <f t="shared" si="18"/>
        <v>2</v>
      </c>
      <c r="K25" s="1">
        <f>参数表!$B$3</f>
        <v>150</v>
      </c>
      <c r="L25" s="1">
        <f>K25*(1+G25)*(1-H25*参数表!$B$13)</f>
        <v>180</v>
      </c>
      <c r="M25" s="1">
        <f t="shared" si="19"/>
        <v>360</v>
      </c>
      <c r="N25" s="1">
        <f t="shared" si="20"/>
        <v>6786</v>
      </c>
      <c r="O25" s="1">
        <f t="shared" si="14"/>
        <v>0</v>
      </c>
      <c r="P25" s="1">
        <f t="shared" si="8"/>
        <v>0</v>
      </c>
      <c r="Q25" s="1">
        <f t="shared" si="9"/>
        <v>0</v>
      </c>
      <c r="R25" s="1">
        <f t="shared" si="10"/>
        <v>0</v>
      </c>
      <c r="S25" s="1">
        <f t="shared" si="21"/>
        <v>1736</v>
      </c>
      <c r="T25" s="1" t="b">
        <f ca="1">RAND()&lt;=参数表!$B$10</f>
        <v>0</v>
      </c>
      <c r="U25" s="1">
        <v>0</v>
      </c>
      <c r="V25" s="1">
        <f t="shared" si="22"/>
        <v>22</v>
      </c>
      <c r="W25" s="1">
        <f t="shared" si="15"/>
        <v>1</v>
      </c>
      <c r="X25" s="1">
        <f t="shared" si="12"/>
        <v>0</v>
      </c>
      <c r="Z25" s="1">
        <f>爱更换!N25-N25</f>
        <v>1704</v>
      </c>
    </row>
    <row r="26" customHeight="1" spans="1:26">
      <c r="A26" s="1">
        <v>24</v>
      </c>
      <c r="B26" s="1">
        <v>2</v>
      </c>
      <c r="C26" s="1">
        <f t="shared" si="1"/>
        <v>3</v>
      </c>
      <c r="D26" s="1">
        <f t="shared" si="2"/>
        <v>3</v>
      </c>
      <c r="E26" s="1">
        <f t="shared" si="3"/>
        <v>3</v>
      </c>
      <c r="F26" s="1">
        <f t="shared" si="16"/>
        <v>1</v>
      </c>
      <c r="G26" s="1">
        <f>IF(W26=1,参数表!$B$7,IF(AND(C26&gt;=3,D26&gt;=3,E26&gt;=3),参数表!$B$6,IF(OR(C26&gt;=3,D26&gt;=3,E26&gt;=3),参数表!$B$6,IF(OR(C26&gt;=2,D26&gt;=2,E26&gt;=2),参数表!$B$5*2,IF(OR(C26&gt;=1,D26&gt;=1,E26&gt;=1),参数表!$B$5,0)))))</f>
        <v>0.5</v>
      </c>
      <c r="H26" s="1">
        <f t="shared" si="17"/>
        <v>1</v>
      </c>
      <c r="I26" s="1">
        <f>参数表!$B$2*(1-G26)</f>
        <v>7.5</v>
      </c>
      <c r="J26" s="1">
        <f t="shared" si="18"/>
        <v>2</v>
      </c>
      <c r="K26" s="1">
        <f>参数表!$B$3</f>
        <v>150</v>
      </c>
      <c r="L26" s="1">
        <f>K26*(1+G26)*(1-H26*参数表!$B$13)</f>
        <v>180</v>
      </c>
      <c r="M26" s="1">
        <f t="shared" si="19"/>
        <v>360</v>
      </c>
      <c r="N26" s="1">
        <f t="shared" si="20"/>
        <v>7146</v>
      </c>
      <c r="O26" s="1">
        <f t="shared" si="14"/>
        <v>0</v>
      </c>
      <c r="P26" s="1">
        <f t="shared" si="8"/>
        <v>0</v>
      </c>
      <c r="Q26" s="1">
        <f t="shared" si="9"/>
        <v>0</v>
      </c>
      <c r="R26" s="1">
        <f t="shared" si="10"/>
        <v>0</v>
      </c>
      <c r="S26" s="1">
        <f t="shared" si="21"/>
        <v>2096</v>
      </c>
      <c r="T26" s="1" t="b">
        <f ca="1">RAND()&lt;=参数表!$B$10</f>
        <v>0</v>
      </c>
      <c r="U26" s="1">
        <v>0</v>
      </c>
      <c r="V26" s="1">
        <f t="shared" si="22"/>
        <v>23</v>
      </c>
      <c r="W26" s="1">
        <f t="shared" si="15"/>
        <v>1</v>
      </c>
      <c r="X26" s="1">
        <f t="shared" si="12"/>
        <v>0</v>
      </c>
      <c r="Z26" s="1">
        <f>爱更换!N26-N26</f>
        <v>1794</v>
      </c>
    </row>
    <row r="27" customHeight="1" spans="1:26">
      <c r="A27" s="1">
        <v>25</v>
      </c>
      <c r="B27" s="1">
        <v>2</v>
      </c>
      <c r="C27" s="1">
        <f t="shared" si="1"/>
        <v>3</v>
      </c>
      <c r="D27" s="1">
        <f t="shared" si="2"/>
        <v>3</v>
      </c>
      <c r="E27" s="1">
        <f t="shared" si="3"/>
        <v>3</v>
      </c>
      <c r="F27" s="1">
        <f t="shared" si="16"/>
        <v>1</v>
      </c>
      <c r="G27" s="1">
        <f>IF(W27=1,参数表!$B$7,IF(AND(C27&gt;=3,D27&gt;=3,E27&gt;=3),参数表!$B$6,IF(OR(C27&gt;=3,D27&gt;=3,E27&gt;=3),参数表!$B$6,IF(OR(C27&gt;=2,D27&gt;=2,E27&gt;=2),参数表!$B$5*2,IF(OR(C27&gt;=1,D27&gt;=1,E27&gt;=1),参数表!$B$5,0)))))</f>
        <v>0.5</v>
      </c>
      <c r="H27" s="1">
        <f t="shared" si="17"/>
        <v>1</v>
      </c>
      <c r="I27" s="1">
        <f>参数表!$B$2*(1-G27)</f>
        <v>7.5</v>
      </c>
      <c r="J27" s="1">
        <f t="shared" si="18"/>
        <v>2</v>
      </c>
      <c r="K27" s="1">
        <f>参数表!$B$3</f>
        <v>150</v>
      </c>
      <c r="L27" s="1">
        <f>K27*(1+G27)*(1-H27*参数表!$B$13)</f>
        <v>180</v>
      </c>
      <c r="M27" s="1">
        <f t="shared" si="19"/>
        <v>360</v>
      </c>
      <c r="N27" s="1">
        <f t="shared" si="20"/>
        <v>7506</v>
      </c>
      <c r="O27" s="1">
        <f t="shared" si="14"/>
        <v>0</v>
      </c>
      <c r="P27" s="1">
        <f t="shared" si="8"/>
        <v>0</v>
      </c>
      <c r="Q27" s="1">
        <f t="shared" si="9"/>
        <v>0</v>
      </c>
      <c r="R27" s="1">
        <f t="shared" si="10"/>
        <v>0</v>
      </c>
      <c r="S27" s="1">
        <f t="shared" si="21"/>
        <v>2456</v>
      </c>
      <c r="T27" s="1" t="b">
        <f ca="1">RAND()&lt;=参数表!$B$10</f>
        <v>0</v>
      </c>
      <c r="U27" s="1">
        <v>0</v>
      </c>
      <c r="V27" s="1">
        <f t="shared" si="22"/>
        <v>24</v>
      </c>
      <c r="W27" s="1">
        <f t="shared" si="15"/>
        <v>1</v>
      </c>
      <c r="X27" s="1">
        <f t="shared" si="12"/>
        <v>0</v>
      </c>
      <c r="Z27" s="1">
        <f>爱更换!N27-N27</f>
        <v>1884</v>
      </c>
    </row>
    <row r="28" customHeight="1" spans="1:26">
      <c r="A28" s="1">
        <v>26</v>
      </c>
      <c r="B28" s="1">
        <v>2</v>
      </c>
      <c r="C28" s="1">
        <f t="shared" si="1"/>
        <v>3</v>
      </c>
      <c r="D28" s="1">
        <f t="shared" si="2"/>
        <v>3</v>
      </c>
      <c r="E28" s="1">
        <f t="shared" si="3"/>
        <v>3</v>
      </c>
      <c r="F28" s="1">
        <f t="shared" si="16"/>
        <v>1</v>
      </c>
      <c r="G28" s="1">
        <f>IF(W28=1,参数表!$B$7,IF(AND(C28&gt;=3,D28&gt;=3,E28&gt;=3),参数表!$B$6,IF(OR(C28&gt;=3,D28&gt;=3,E28&gt;=3),参数表!$B$6,IF(OR(C28&gt;=2,D28&gt;=2,E28&gt;=2),参数表!$B$5*2,IF(OR(C28&gt;=1,D28&gt;=1,E28&gt;=1),参数表!$B$5,0)))))</f>
        <v>0.5</v>
      </c>
      <c r="H28" s="1">
        <f t="shared" si="17"/>
        <v>1</v>
      </c>
      <c r="I28" s="1">
        <f>参数表!$B$2*(1-G28)</f>
        <v>7.5</v>
      </c>
      <c r="J28" s="1">
        <f t="shared" si="18"/>
        <v>2</v>
      </c>
      <c r="K28" s="1">
        <f>参数表!$B$3</f>
        <v>150</v>
      </c>
      <c r="L28" s="1">
        <f>K28*(1+G28)*(1-H28*参数表!$B$13)</f>
        <v>180</v>
      </c>
      <c r="M28" s="1">
        <f t="shared" si="19"/>
        <v>360</v>
      </c>
      <c r="N28" s="1">
        <f t="shared" si="20"/>
        <v>7866</v>
      </c>
      <c r="O28" s="1">
        <f t="shared" si="14"/>
        <v>0</v>
      </c>
      <c r="P28" s="1">
        <f t="shared" si="8"/>
        <v>0</v>
      </c>
      <c r="Q28" s="1">
        <f t="shared" si="9"/>
        <v>0</v>
      </c>
      <c r="R28" s="1">
        <f t="shared" si="10"/>
        <v>0</v>
      </c>
      <c r="S28" s="1">
        <f t="shared" si="21"/>
        <v>2816</v>
      </c>
      <c r="T28" s="1" t="b">
        <f ca="1">RAND()&lt;=参数表!$B$10</f>
        <v>0</v>
      </c>
      <c r="U28" s="1">
        <v>0</v>
      </c>
      <c r="V28" s="1">
        <f t="shared" si="22"/>
        <v>25</v>
      </c>
      <c r="W28" s="1">
        <f t="shared" si="15"/>
        <v>1</v>
      </c>
      <c r="X28" s="1">
        <f t="shared" si="12"/>
        <v>0</v>
      </c>
      <c r="Z28" s="1">
        <f>爱更换!N28-N28</f>
        <v>1974</v>
      </c>
    </row>
    <row r="29" customHeight="1" spans="1:26">
      <c r="A29" s="1">
        <v>27</v>
      </c>
      <c r="B29" s="1">
        <v>2</v>
      </c>
      <c r="C29" s="1">
        <f t="shared" si="1"/>
        <v>3</v>
      </c>
      <c r="D29" s="1">
        <f t="shared" si="2"/>
        <v>3</v>
      </c>
      <c r="E29" s="1">
        <f t="shared" si="3"/>
        <v>3</v>
      </c>
      <c r="F29" s="1">
        <f t="shared" si="16"/>
        <v>1</v>
      </c>
      <c r="G29" s="1">
        <f>IF(W29=1,参数表!$B$7,IF(AND(C29&gt;=3,D29&gt;=3,E29&gt;=3),参数表!$B$6,IF(OR(C29&gt;=3,D29&gt;=3,E29&gt;=3),参数表!$B$6,IF(OR(C29&gt;=2,D29&gt;=2,E29&gt;=2),参数表!$B$5*2,IF(OR(C29&gt;=1,D29&gt;=1,E29&gt;=1),参数表!$B$5,0)))))</f>
        <v>0.5</v>
      </c>
      <c r="H29" s="1">
        <f t="shared" si="17"/>
        <v>1</v>
      </c>
      <c r="I29" s="1">
        <f>参数表!$B$2*(1-G29)</f>
        <v>7.5</v>
      </c>
      <c r="J29" s="1">
        <f t="shared" si="18"/>
        <v>2</v>
      </c>
      <c r="K29" s="1">
        <f>参数表!$B$3</f>
        <v>150</v>
      </c>
      <c r="L29" s="1">
        <f>K29*(1+G29)*(1-H29*参数表!$B$13)</f>
        <v>180</v>
      </c>
      <c r="M29" s="1">
        <f t="shared" si="19"/>
        <v>360</v>
      </c>
      <c r="N29" s="1">
        <f t="shared" si="20"/>
        <v>8226</v>
      </c>
      <c r="O29" s="1">
        <f t="shared" si="14"/>
        <v>0</v>
      </c>
      <c r="P29" s="1">
        <f t="shared" si="8"/>
        <v>0</v>
      </c>
      <c r="Q29" s="1">
        <f t="shared" si="9"/>
        <v>0</v>
      </c>
      <c r="R29" s="1">
        <f t="shared" si="10"/>
        <v>0</v>
      </c>
      <c r="S29" s="1">
        <f t="shared" si="21"/>
        <v>3176</v>
      </c>
      <c r="T29" s="1" t="b">
        <f ca="1">RAND()&lt;=参数表!$B$10</f>
        <v>0</v>
      </c>
      <c r="U29" s="1">
        <v>0</v>
      </c>
      <c r="V29" s="1">
        <f t="shared" si="22"/>
        <v>26</v>
      </c>
      <c r="W29" s="1">
        <f t="shared" si="15"/>
        <v>1</v>
      </c>
      <c r="X29" s="1">
        <f t="shared" si="12"/>
        <v>0</v>
      </c>
      <c r="Z29" s="1">
        <f>爱更换!N29-N29</f>
        <v>2064</v>
      </c>
    </row>
    <row r="30" customHeight="1" spans="1:26">
      <c r="A30" s="1">
        <v>28</v>
      </c>
      <c r="B30" s="1">
        <v>2</v>
      </c>
      <c r="C30" s="1">
        <f t="shared" si="1"/>
        <v>3</v>
      </c>
      <c r="D30" s="1">
        <f t="shared" si="2"/>
        <v>3</v>
      </c>
      <c r="E30" s="1">
        <f t="shared" si="3"/>
        <v>3</v>
      </c>
      <c r="F30" s="1">
        <f t="shared" si="16"/>
        <v>1</v>
      </c>
      <c r="G30" s="1">
        <f>IF(W30=1,参数表!$B$7,IF(AND(C30&gt;=3,D30&gt;=3,E30&gt;=3),参数表!$B$6,IF(OR(C30&gt;=3,D30&gt;=3,E30&gt;=3),参数表!$B$6,IF(OR(C30&gt;=2,D30&gt;=2,E30&gt;=2),参数表!$B$5*2,IF(OR(C30&gt;=1,D30&gt;=1,E30&gt;=1),参数表!$B$5,0)))))</f>
        <v>0.5</v>
      </c>
      <c r="H30" s="1">
        <f t="shared" si="17"/>
        <v>1</v>
      </c>
      <c r="I30" s="1">
        <f>参数表!$B$2*(1-G30)</f>
        <v>7.5</v>
      </c>
      <c r="J30" s="1">
        <f t="shared" si="18"/>
        <v>2</v>
      </c>
      <c r="K30" s="1">
        <f>参数表!$B$3</f>
        <v>150</v>
      </c>
      <c r="L30" s="1">
        <f>K30*(1+G30)*(1-H30*参数表!$B$13)</f>
        <v>180</v>
      </c>
      <c r="M30" s="1">
        <f t="shared" si="19"/>
        <v>360</v>
      </c>
      <c r="N30" s="1">
        <f t="shared" si="20"/>
        <v>8586</v>
      </c>
      <c r="O30" s="1">
        <f t="shared" si="14"/>
        <v>0</v>
      </c>
      <c r="P30" s="1">
        <f t="shared" si="8"/>
        <v>0</v>
      </c>
      <c r="Q30" s="1">
        <f t="shared" si="9"/>
        <v>0</v>
      </c>
      <c r="R30" s="1">
        <f t="shared" si="10"/>
        <v>0</v>
      </c>
      <c r="S30" s="1">
        <f t="shared" si="21"/>
        <v>3536</v>
      </c>
      <c r="T30" s="1" t="b">
        <f ca="1">RAND()&lt;=参数表!$B$10</f>
        <v>0</v>
      </c>
      <c r="U30" s="1">
        <v>0</v>
      </c>
      <c r="V30" s="1">
        <f t="shared" si="22"/>
        <v>27</v>
      </c>
      <c r="W30" s="1">
        <f t="shared" si="15"/>
        <v>1</v>
      </c>
      <c r="X30" s="1">
        <f t="shared" si="12"/>
        <v>0</v>
      </c>
      <c r="Z30" s="1">
        <f>爱更换!N30-N30</f>
        <v>2154</v>
      </c>
    </row>
    <row r="31" customHeight="1" spans="1:26">
      <c r="A31" s="1">
        <v>29</v>
      </c>
      <c r="B31" s="1">
        <v>2</v>
      </c>
      <c r="C31" s="1">
        <f t="shared" si="1"/>
        <v>3</v>
      </c>
      <c r="D31" s="1">
        <f t="shared" si="2"/>
        <v>3</v>
      </c>
      <c r="E31" s="1">
        <f t="shared" si="3"/>
        <v>3</v>
      </c>
      <c r="F31" s="1">
        <f t="shared" si="16"/>
        <v>1</v>
      </c>
      <c r="G31" s="1">
        <f>IF(W31=1,参数表!$B$7,IF(AND(C31&gt;=3,D31&gt;=3,E31&gt;=3),参数表!$B$6,IF(OR(C31&gt;=3,D31&gt;=3,E31&gt;=3),参数表!$B$6,IF(OR(C31&gt;=2,D31&gt;=2,E31&gt;=2),参数表!$B$5*2,IF(OR(C31&gt;=1,D31&gt;=1,E31&gt;=1),参数表!$B$5,0)))))</f>
        <v>0.5</v>
      </c>
      <c r="H31" s="1">
        <f t="shared" si="17"/>
        <v>1</v>
      </c>
      <c r="I31" s="1">
        <f>参数表!$B$2*(1-G31)</f>
        <v>7.5</v>
      </c>
      <c r="J31" s="1">
        <f t="shared" si="18"/>
        <v>2</v>
      </c>
      <c r="K31" s="1">
        <f>参数表!$B$3</f>
        <v>150</v>
      </c>
      <c r="L31" s="1">
        <f>K31*(1+G31)*(1-H31*参数表!$B$13)</f>
        <v>180</v>
      </c>
      <c r="M31" s="1">
        <f t="shared" si="19"/>
        <v>360</v>
      </c>
      <c r="N31" s="1">
        <f t="shared" si="20"/>
        <v>8946</v>
      </c>
      <c r="O31" s="1">
        <f t="shared" si="14"/>
        <v>0</v>
      </c>
      <c r="P31" s="1">
        <f t="shared" si="8"/>
        <v>0</v>
      </c>
      <c r="Q31" s="1">
        <f t="shared" si="9"/>
        <v>0</v>
      </c>
      <c r="R31" s="1">
        <f t="shared" si="10"/>
        <v>0</v>
      </c>
      <c r="S31" s="1">
        <f t="shared" si="21"/>
        <v>3896</v>
      </c>
      <c r="T31" s="1" t="b">
        <f ca="1">RAND()&lt;=参数表!$B$10</f>
        <v>0</v>
      </c>
      <c r="U31" s="1">
        <v>0</v>
      </c>
      <c r="V31" s="1">
        <f t="shared" si="22"/>
        <v>28</v>
      </c>
      <c r="W31" s="1">
        <f t="shared" si="15"/>
        <v>1</v>
      </c>
      <c r="X31" s="1">
        <f t="shared" si="12"/>
        <v>0</v>
      </c>
      <c r="Z31" s="1">
        <f>爱更换!N31-N31</f>
        <v>2244</v>
      </c>
    </row>
    <row r="32" customHeight="1" spans="1:26">
      <c r="A32" s="1">
        <v>30</v>
      </c>
      <c r="B32" s="1">
        <v>2</v>
      </c>
      <c r="C32" s="1">
        <f t="shared" si="1"/>
        <v>3</v>
      </c>
      <c r="D32" s="1">
        <f t="shared" si="2"/>
        <v>3</v>
      </c>
      <c r="E32" s="1">
        <f t="shared" si="3"/>
        <v>3</v>
      </c>
      <c r="F32" s="1">
        <f t="shared" si="16"/>
        <v>1</v>
      </c>
      <c r="G32" s="1">
        <f>IF(W32=1,参数表!$B$7,IF(AND(C32&gt;=3,D32&gt;=3,E32&gt;=3),参数表!$B$6,IF(OR(C32&gt;=3,D32&gt;=3,E32&gt;=3),参数表!$B$6,IF(OR(C32&gt;=2,D32&gt;=2,E32&gt;=2),参数表!$B$5*2,IF(OR(C32&gt;=1,D32&gt;=1,E32&gt;=1),参数表!$B$5,0)))))</f>
        <v>0.5</v>
      </c>
      <c r="H32" s="1">
        <f t="shared" si="17"/>
        <v>1</v>
      </c>
      <c r="I32" s="1">
        <f>参数表!$B$2*(1-G32)</f>
        <v>7.5</v>
      </c>
      <c r="J32" s="1">
        <f t="shared" si="18"/>
        <v>2</v>
      </c>
      <c r="K32" s="1">
        <f>参数表!$B$3</f>
        <v>150</v>
      </c>
      <c r="L32" s="1">
        <f>K32*(1+G32)*(1-H32*参数表!$B$13)</f>
        <v>180</v>
      </c>
      <c r="M32" s="1">
        <f t="shared" si="19"/>
        <v>360</v>
      </c>
      <c r="N32" s="1">
        <f t="shared" si="20"/>
        <v>9306</v>
      </c>
      <c r="O32" s="1">
        <f t="shared" si="14"/>
        <v>0</v>
      </c>
      <c r="P32" s="1">
        <f t="shared" si="8"/>
        <v>0</v>
      </c>
      <c r="Q32" s="1">
        <f t="shared" si="9"/>
        <v>0</v>
      </c>
      <c r="R32" s="1">
        <f t="shared" si="10"/>
        <v>0</v>
      </c>
      <c r="S32" s="1">
        <f t="shared" si="21"/>
        <v>4256</v>
      </c>
      <c r="T32" s="1" t="b">
        <f ca="1">RAND()&lt;=参数表!$B$10</f>
        <v>0</v>
      </c>
      <c r="U32" s="1">
        <v>0</v>
      </c>
      <c r="V32" s="1">
        <f t="shared" si="22"/>
        <v>29</v>
      </c>
      <c r="W32" s="1">
        <f t="shared" si="15"/>
        <v>1</v>
      </c>
      <c r="X32" s="1">
        <f t="shared" si="12"/>
        <v>0</v>
      </c>
      <c r="Z32" s="1">
        <f>爱更换!N32-N32</f>
        <v>2334</v>
      </c>
    </row>
  </sheetData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32"/>
  <sheetViews>
    <sheetView zoomScale="115" zoomScaleNormal="115" topLeftCell="K1" workbookViewId="0">
      <selection activeCell="W20" sqref="W20"/>
    </sheetView>
  </sheetViews>
  <sheetFormatPr defaultColWidth="9" defaultRowHeight="14"/>
  <cols>
    <col min="1" max="20" width="13.6363636363636" customWidth="1"/>
    <col min="21" max="25" width="15.6363636363636" customWidth="1"/>
  </cols>
  <sheetData>
    <row r="1" spans="1:24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</row>
    <row r="2" spans="1:24">
      <c r="A2" s="1">
        <v>0</v>
      </c>
      <c r="B2" s="1">
        <v>0</v>
      </c>
      <c r="C2" s="1">
        <v>1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1</v>
      </c>
      <c r="V2" s="1">
        <v>0</v>
      </c>
      <c r="W2" s="1">
        <v>0</v>
      </c>
      <c r="X2" s="1">
        <v>0</v>
      </c>
    </row>
    <row r="3" spans="1:24">
      <c r="A3" s="1">
        <v>1</v>
      </c>
      <c r="B3" s="1">
        <v>2</v>
      </c>
      <c r="C3" s="1">
        <f t="shared" ref="C3:C32" si="0">MIN(3,C2+O2)</f>
        <v>1</v>
      </c>
      <c r="D3" s="1">
        <f t="shared" ref="D3:D32" si="1">MIN(3,D2+P2)</f>
        <v>0</v>
      </c>
      <c r="E3" s="1">
        <f t="shared" ref="E3:E32" si="2">MIN(3,E2+Q2)</f>
        <v>0</v>
      </c>
      <c r="F3" s="1">
        <f t="shared" ref="F3:F32" si="3">IF(F2=1,1,IF(AND(C2&gt;=3,D2&gt;=3,E2&gt;=3),1,0))</f>
        <v>0</v>
      </c>
      <c r="G3" s="1">
        <v>0.1</v>
      </c>
      <c r="H3" s="1">
        <f t="shared" ref="H3:H32" si="4">IF(V3&gt;=2,1,0)</f>
        <v>0</v>
      </c>
      <c r="I3" s="1">
        <f t="shared" ref="I3:I32" si="5">15*(1-G3)</f>
        <v>13.5</v>
      </c>
      <c r="J3" s="1">
        <f t="shared" ref="J3:J32" si="6">MIN(2,ROUNDDOWN(24/I3,0))</f>
        <v>1</v>
      </c>
      <c r="K3" s="1">
        <v>150</v>
      </c>
      <c r="L3" s="1">
        <f t="shared" ref="L3:L32" si="7">150*(1+G3)*(1-H3*20%)</f>
        <v>165</v>
      </c>
      <c r="M3" s="1">
        <f t="shared" ref="M3:M32" si="8">L3*J3</f>
        <v>165</v>
      </c>
      <c r="N3" s="1">
        <f>M3</f>
        <v>165</v>
      </c>
      <c r="O3" s="1">
        <f t="shared" ref="O3:O32" si="9">IF(AND(S2&gt;=450,C2&lt;3,F2=0),1,0)</f>
        <v>0</v>
      </c>
      <c r="P3" s="1">
        <f t="shared" ref="P3:P32" si="10">IF(AND(S2&gt;=450,D2&lt;3,C2&gt;=3,F2=0),1,0)</f>
        <v>0</v>
      </c>
      <c r="Q3" s="1">
        <f t="shared" ref="Q3:Q32" si="11">IF(AND(S2&gt;=450,E2&lt;3,D2&gt;=3,F2=0),1,0)</f>
        <v>0</v>
      </c>
      <c r="R3" s="1">
        <f t="shared" ref="R3:R32" si="12">O3*450+P3*450+Q3*450+X3*1000</f>
        <v>0</v>
      </c>
      <c r="S3" s="1">
        <f t="shared" ref="S3:S32" si="13">S2+M3-R3</f>
        <v>165</v>
      </c>
      <c r="T3" s="1" t="b">
        <f ca="1" t="shared" ref="T3:T32" si="14">RAND()&lt;=10%</f>
        <v>0</v>
      </c>
      <c r="U3" s="1">
        <v>1</v>
      </c>
      <c r="V3" s="1">
        <v>0</v>
      </c>
      <c r="W3" s="1">
        <f t="shared" ref="W3:W32" si="15">IF(W2=1,1,IF(AND(F3=1,S2&gt;=1000,W2=0),1,0))</f>
        <v>0</v>
      </c>
      <c r="X3" s="1">
        <f t="shared" ref="X3:X32" si="16">IF(AND(W3=1,W2=0),1,0)</f>
        <v>0</v>
      </c>
    </row>
    <row r="4" spans="1:24">
      <c r="A4" s="1">
        <v>2</v>
      </c>
      <c r="B4" s="1">
        <v>2</v>
      </c>
      <c r="C4" s="1">
        <f t="shared" si="0"/>
        <v>1</v>
      </c>
      <c r="D4" s="1">
        <f t="shared" si="1"/>
        <v>0</v>
      </c>
      <c r="E4" s="1">
        <f t="shared" si="2"/>
        <v>0</v>
      </c>
      <c r="F4" s="1">
        <f t="shared" si="3"/>
        <v>0</v>
      </c>
      <c r="G4" s="1">
        <f t="shared" ref="G4:G32" si="17">IF(W4=1,0.5,IF(AND(C4&gt;=3,D4&gt;=3,E4&gt;=3),0.35,IF(OR(C4&gt;=3,D4&gt;=3,E4&gt;=3),0.35,IF(OR(C4&gt;=2,D4&gt;=2,E4&gt;=2),0.2,IF(OR(C4&gt;=1,D4&gt;=1,E4&gt;=1),0.1,0)))))</f>
        <v>0.1</v>
      </c>
      <c r="H4" s="1">
        <f t="shared" si="4"/>
        <v>0</v>
      </c>
      <c r="I4" s="1">
        <f t="shared" si="5"/>
        <v>13.5</v>
      </c>
      <c r="J4" s="1">
        <f t="shared" si="6"/>
        <v>1</v>
      </c>
      <c r="K4" s="1">
        <v>150</v>
      </c>
      <c r="L4" s="1">
        <f t="shared" si="7"/>
        <v>165</v>
      </c>
      <c r="M4" s="1">
        <f t="shared" si="8"/>
        <v>165</v>
      </c>
      <c r="N4" s="1">
        <f t="shared" ref="N4:N32" si="18">N3+M4</f>
        <v>330</v>
      </c>
      <c r="O4" s="1">
        <f t="shared" si="9"/>
        <v>0</v>
      </c>
      <c r="P4" s="1">
        <f t="shared" si="10"/>
        <v>0</v>
      </c>
      <c r="Q4" s="1">
        <f t="shared" si="11"/>
        <v>0</v>
      </c>
      <c r="R4" s="1">
        <f t="shared" si="12"/>
        <v>0</v>
      </c>
      <c r="S4" s="1">
        <f t="shared" si="13"/>
        <v>330</v>
      </c>
      <c r="T4" s="1" t="b">
        <f ca="1" t="shared" si="14"/>
        <v>0</v>
      </c>
      <c r="U4" s="1">
        <v>1</v>
      </c>
      <c r="V4" s="1">
        <f t="shared" ref="V4:V32" si="19">IF(U4=1,0,V3+1)</f>
        <v>0</v>
      </c>
      <c r="W4" s="1">
        <f t="shared" si="15"/>
        <v>0</v>
      </c>
      <c r="X4" s="1">
        <f t="shared" si="16"/>
        <v>0</v>
      </c>
    </row>
    <row r="5" spans="1:24">
      <c r="A5" s="1">
        <v>3</v>
      </c>
      <c r="B5" s="1">
        <v>2</v>
      </c>
      <c r="C5" s="1">
        <f t="shared" si="0"/>
        <v>1</v>
      </c>
      <c r="D5" s="1">
        <f t="shared" si="1"/>
        <v>0</v>
      </c>
      <c r="E5" s="1">
        <f t="shared" si="2"/>
        <v>0</v>
      </c>
      <c r="F5" s="1">
        <f t="shared" si="3"/>
        <v>0</v>
      </c>
      <c r="G5" s="1">
        <f t="shared" si="17"/>
        <v>0.1</v>
      </c>
      <c r="H5" s="1">
        <f t="shared" si="4"/>
        <v>0</v>
      </c>
      <c r="I5" s="1">
        <f t="shared" si="5"/>
        <v>13.5</v>
      </c>
      <c r="J5" s="1">
        <f t="shared" si="6"/>
        <v>1</v>
      </c>
      <c r="K5" s="1">
        <v>150</v>
      </c>
      <c r="L5" s="1">
        <f t="shared" si="7"/>
        <v>165</v>
      </c>
      <c r="M5" s="1">
        <f t="shared" si="8"/>
        <v>165</v>
      </c>
      <c r="N5" s="1">
        <f t="shared" si="18"/>
        <v>495</v>
      </c>
      <c r="O5" s="1">
        <f t="shared" si="9"/>
        <v>0</v>
      </c>
      <c r="P5" s="1">
        <f t="shared" si="10"/>
        <v>0</v>
      </c>
      <c r="Q5" s="1">
        <f t="shared" si="11"/>
        <v>0</v>
      </c>
      <c r="R5" s="1">
        <f t="shared" si="12"/>
        <v>0</v>
      </c>
      <c r="S5" s="1">
        <f t="shared" si="13"/>
        <v>495</v>
      </c>
      <c r="T5" s="1" t="b">
        <f ca="1" t="shared" si="14"/>
        <v>0</v>
      </c>
      <c r="U5" s="1">
        <v>1</v>
      </c>
      <c r="V5" s="1">
        <f t="shared" si="19"/>
        <v>0</v>
      </c>
      <c r="W5" s="1">
        <f t="shared" si="15"/>
        <v>0</v>
      </c>
      <c r="X5" s="1">
        <f t="shared" si="16"/>
        <v>0</v>
      </c>
    </row>
    <row r="6" spans="1:24">
      <c r="A6" s="1">
        <v>4</v>
      </c>
      <c r="B6" s="1">
        <v>2</v>
      </c>
      <c r="C6" s="1">
        <f t="shared" si="0"/>
        <v>1</v>
      </c>
      <c r="D6" s="1">
        <f t="shared" si="1"/>
        <v>0</v>
      </c>
      <c r="E6" s="1">
        <f t="shared" si="2"/>
        <v>0</v>
      </c>
      <c r="F6" s="1">
        <f t="shared" si="3"/>
        <v>0</v>
      </c>
      <c r="G6" s="1">
        <f t="shared" si="17"/>
        <v>0.1</v>
      </c>
      <c r="H6" s="1">
        <f t="shared" si="4"/>
        <v>0</v>
      </c>
      <c r="I6" s="1">
        <f t="shared" si="5"/>
        <v>13.5</v>
      </c>
      <c r="J6" s="1">
        <f t="shared" si="6"/>
        <v>1</v>
      </c>
      <c r="K6" s="1">
        <v>150</v>
      </c>
      <c r="L6" s="1">
        <f t="shared" si="7"/>
        <v>165</v>
      </c>
      <c r="M6" s="1">
        <f t="shared" si="8"/>
        <v>165</v>
      </c>
      <c r="N6" s="1">
        <f t="shared" si="18"/>
        <v>660</v>
      </c>
      <c r="O6" s="1">
        <f t="shared" si="9"/>
        <v>1</v>
      </c>
      <c r="P6" s="1">
        <f t="shared" si="10"/>
        <v>0</v>
      </c>
      <c r="Q6" s="1">
        <f t="shared" si="11"/>
        <v>0</v>
      </c>
      <c r="R6" s="1">
        <f t="shared" si="12"/>
        <v>450</v>
      </c>
      <c r="S6" s="1">
        <f t="shared" si="13"/>
        <v>210</v>
      </c>
      <c r="T6" s="1" t="b">
        <f ca="1" t="shared" si="14"/>
        <v>0</v>
      </c>
      <c r="U6" s="1">
        <v>1</v>
      </c>
      <c r="V6" s="1">
        <f t="shared" si="19"/>
        <v>0</v>
      </c>
      <c r="W6" s="1">
        <f t="shared" si="15"/>
        <v>0</v>
      </c>
      <c r="X6" s="1">
        <f t="shared" si="16"/>
        <v>0</v>
      </c>
    </row>
    <row r="7" spans="1:24">
      <c r="A7" s="1">
        <v>5</v>
      </c>
      <c r="B7" s="1">
        <v>2</v>
      </c>
      <c r="C7" s="1">
        <f t="shared" si="0"/>
        <v>2</v>
      </c>
      <c r="D7" s="1">
        <f t="shared" si="1"/>
        <v>0</v>
      </c>
      <c r="E7" s="1">
        <f t="shared" si="2"/>
        <v>0</v>
      </c>
      <c r="F7" s="1">
        <f t="shared" si="3"/>
        <v>0</v>
      </c>
      <c r="G7" s="1">
        <f t="shared" si="17"/>
        <v>0.2</v>
      </c>
      <c r="H7" s="1">
        <f t="shared" si="4"/>
        <v>0</v>
      </c>
      <c r="I7" s="1">
        <f t="shared" si="5"/>
        <v>12</v>
      </c>
      <c r="J7" s="1">
        <f t="shared" si="6"/>
        <v>2</v>
      </c>
      <c r="K7" s="1">
        <v>150</v>
      </c>
      <c r="L7" s="1">
        <f t="shared" si="7"/>
        <v>180</v>
      </c>
      <c r="M7" s="1">
        <f t="shared" si="8"/>
        <v>360</v>
      </c>
      <c r="N7" s="1">
        <f t="shared" si="18"/>
        <v>1020</v>
      </c>
      <c r="O7" s="1">
        <f t="shared" si="9"/>
        <v>0</v>
      </c>
      <c r="P7" s="1">
        <f t="shared" si="10"/>
        <v>0</v>
      </c>
      <c r="Q7" s="1">
        <f t="shared" si="11"/>
        <v>0</v>
      </c>
      <c r="R7" s="1">
        <f t="shared" si="12"/>
        <v>0</v>
      </c>
      <c r="S7" s="1">
        <f t="shared" si="13"/>
        <v>570</v>
      </c>
      <c r="T7" s="1" t="b">
        <f ca="1" t="shared" si="14"/>
        <v>0</v>
      </c>
      <c r="U7" s="1">
        <v>1</v>
      </c>
      <c r="V7" s="1">
        <f t="shared" si="19"/>
        <v>0</v>
      </c>
      <c r="W7" s="1">
        <f t="shared" si="15"/>
        <v>0</v>
      </c>
      <c r="X7" s="1">
        <f t="shared" si="16"/>
        <v>0</v>
      </c>
    </row>
    <row r="8" spans="1:24">
      <c r="A8" s="1">
        <v>6</v>
      </c>
      <c r="B8" s="1">
        <v>2</v>
      </c>
      <c r="C8" s="1">
        <f t="shared" si="0"/>
        <v>2</v>
      </c>
      <c r="D8" s="1">
        <f t="shared" si="1"/>
        <v>0</v>
      </c>
      <c r="E8" s="1">
        <f t="shared" si="2"/>
        <v>0</v>
      </c>
      <c r="F8" s="1">
        <f t="shared" si="3"/>
        <v>0</v>
      </c>
      <c r="G8" s="1">
        <f t="shared" si="17"/>
        <v>0.2</v>
      </c>
      <c r="H8" s="1">
        <f t="shared" si="4"/>
        <v>0</v>
      </c>
      <c r="I8" s="1">
        <f t="shared" si="5"/>
        <v>12</v>
      </c>
      <c r="J8" s="1">
        <f t="shared" si="6"/>
        <v>2</v>
      </c>
      <c r="K8" s="1">
        <v>150</v>
      </c>
      <c r="L8" s="1">
        <f t="shared" si="7"/>
        <v>180</v>
      </c>
      <c r="M8" s="1">
        <f t="shared" si="8"/>
        <v>360</v>
      </c>
      <c r="N8" s="1">
        <f t="shared" si="18"/>
        <v>1380</v>
      </c>
      <c r="O8" s="1">
        <f t="shared" si="9"/>
        <v>1</v>
      </c>
      <c r="P8" s="1">
        <f t="shared" si="10"/>
        <v>0</v>
      </c>
      <c r="Q8" s="1">
        <f t="shared" si="11"/>
        <v>0</v>
      </c>
      <c r="R8" s="1">
        <f t="shared" si="12"/>
        <v>450</v>
      </c>
      <c r="S8" s="1">
        <f t="shared" si="13"/>
        <v>480</v>
      </c>
      <c r="T8" s="1" t="b">
        <f ca="1" t="shared" si="14"/>
        <v>0</v>
      </c>
      <c r="U8" s="1">
        <v>1</v>
      </c>
      <c r="V8" s="1">
        <f t="shared" si="19"/>
        <v>0</v>
      </c>
      <c r="W8" s="1">
        <f t="shared" si="15"/>
        <v>0</v>
      </c>
      <c r="X8" s="1">
        <f t="shared" si="16"/>
        <v>0</v>
      </c>
    </row>
    <row r="9" spans="1:24">
      <c r="A9" s="1">
        <v>7</v>
      </c>
      <c r="B9" s="1">
        <v>2</v>
      </c>
      <c r="C9" s="1">
        <f t="shared" si="0"/>
        <v>3</v>
      </c>
      <c r="D9" s="1">
        <f t="shared" si="1"/>
        <v>0</v>
      </c>
      <c r="E9" s="1">
        <f t="shared" si="2"/>
        <v>0</v>
      </c>
      <c r="F9" s="1">
        <f t="shared" si="3"/>
        <v>0</v>
      </c>
      <c r="G9" s="1">
        <f t="shared" si="17"/>
        <v>0.35</v>
      </c>
      <c r="H9" s="1">
        <f t="shared" si="4"/>
        <v>0</v>
      </c>
      <c r="I9" s="1">
        <f t="shared" si="5"/>
        <v>9.75</v>
      </c>
      <c r="J9" s="1">
        <f t="shared" si="6"/>
        <v>2</v>
      </c>
      <c r="K9" s="1">
        <v>150</v>
      </c>
      <c r="L9" s="1">
        <f t="shared" si="7"/>
        <v>202.5</v>
      </c>
      <c r="M9" s="1">
        <f t="shared" si="8"/>
        <v>405</v>
      </c>
      <c r="N9" s="1">
        <f t="shared" si="18"/>
        <v>1785</v>
      </c>
      <c r="O9" s="1">
        <f t="shared" si="9"/>
        <v>1</v>
      </c>
      <c r="P9" s="1">
        <f t="shared" si="10"/>
        <v>0</v>
      </c>
      <c r="Q9" s="1">
        <f t="shared" si="11"/>
        <v>0</v>
      </c>
      <c r="R9" s="1">
        <f t="shared" si="12"/>
        <v>450</v>
      </c>
      <c r="S9" s="1">
        <f t="shared" si="13"/>
        <v>435</v>
      </c>
      <c r="T9" s="1" t="b">
        <f ca="1" t="shared" si="14"/>
        <v>0</v>
      </c>
      <c r="U9" s="1">
        <v>1</v>
      </c>
      <c r="V9" s="1">
        <f t="shared" si="19"/>
        <v>0</v>
      </c>
      <c r="W9" s="1">
        <f t="shared" si="15"/>
        <v>0</v>
      </c>
      <c r="X9" s="1">
        <f t="shared" si="16"/>
        <v>0</v>
      </c>
    </row>
    <row r="10" spans="1:24">
      <c r="A10" s="1">
        <v>8</v>
      </c>
      <c r="B10" s="1">
        <v>2</v>
      </c>
      <c r="C10" s="1">
        <f t="shared" si="0"/>
        <v>3</v>
      </c>
      <c r="D10" s="1">
        <f t="shared" si="1"/>
        <v>0</v>
      </c>
      <c r="E10" s="1">
        <f t="shared" si="2"/>
        <v>0</v>
      </c>
      <c r="F10" s="1">
        <f t="shared" si="3"/>
        <v>0</v>
      </c>
      <c r="G10" s="1">
        <f t="shared" si="17"/>
        <v>0.35</v>
      </c>
      <c r="H10" s="1">
        <f t="shared" si="4"/>
        <v>0</v>
      </c>
      <c r="I10" s="1">
        <f t="shared" si="5"/>
        <v>9.75</v>
      </c>
      <c r="J10" s="1">
        <f t="shared" si="6"/>
        <v>2</v>
      </c>
      <c r="K10" s="1">
        <v>150</v>
      </c>
      <c r="L10" s="1">
        <f t="shared" si="7"/>
        <v>202.5</v>
      </c>
      <c r="M10" s="1">
        <f t="shared" si="8"/>
        <v>405</v>
      </c>
      <c r="N10" s="1">
        <f t="shared" si="18"/>
        <v>2190</v>
      </c>
      <c r="O10" s="1">
        <f t="shared" si="9"/>
        <v>0</v>
      </c>
      <c r="P10" s="1">
        <f t="shared" si="10"/>
        <v>0</v>
      </c>
      <c r="Q10" s="1">
        <f t="shared" si="11"/>
        <v>0</v>
      </c>
      <c r="R10" s="1">
        <f t="shared" si="12"/>
        <v>0</v>
      </c>
      <c r="S10" s="1">
        <f t="shared" si="13"/>
        <v>840</v>
      </c>
      <c r="T10" s="1" t="b">
        <f ca="1" t="shared" si="14"/>
        <v>1</v>
      </c>
      <c r="U10" s="1">
        <v>1</v>
      </c>
      <c r="V10" s="1">
        <f t="shared" si="19"/>
        <v>0</v>
      </c>
      <c r="W10" s="1">
        <f t="shared" si="15"/>
        <v>0</v>
      </c>
      <c r="X10" s="1">
        <f t="shared" si="16"/>
        <v>0</v>
      </c>
    </row>
    <row r="11" spans="1:24">
      <c r="A11" s="1">
        <v>9</v>
      </c>
      <c r="B11" s="1">
        <v>2</v>
      </c>
      <c r="C11" s="1">
        <f t="shared" si="0"/>
        <v>3</v>
      </c>
      <c r="D11" s="1">
        <f t="shared" si="1"/>
        <v>0</v>
      </c>
      <c r="E11" s="1">
        <f t="shared" si="2"/>
        <v>0</v>
      </c>
      <c r="F11" s="1">
        <f t="shared" si="3"/>
        <v>0</v>
      </c>
      <c r="G11" s="1">
        <f t="shared" si="17"/>
        <v>0.35</v>
      </c>
      <c r="H11" s="1">
        <f t="shared" si="4"/>
        <v>0</v>
      </c>
      <c r="I11" s="1">
        <f t="shared" si="5"/>
        <v>9.75</v>
      </c>
      <c r="J11" s="1">
        <f t="shared" si="6"/>
        <v>2</v>
      </c>
      <c r="K11" s="1">
        <v>150</v>
      </c>
      <c r="L11" s="1">
        <f t="shared" si="7"/>
        <v>202.5</v>
      </c>
      <c r="M11" s="1">
        <f t="shared" si="8"/>
        <v>405</v>
      </c>
      <c r="N11" s="1">
        <f t="shared" si="18"/>
        <v>2595</v>
      </c>
      <c r="O11" s="1">
        <f t="shared" si="9"/>
        <v>0</v>
      </c>
      <c r="P11" s="1">
        <f t="shared" si="10"/>
        <v>1</v>
      </c>
      <c r="Q11" s="1">
        <f t="shared" si="11"/>
        <v>0</v>
      </c>
      <c r="R11" s="1">
        <f t="shared" si="12"/>
        <v>450</v>
      </c>
      <c r="S11" s="1">
        <f t="shared" si="13"/>
        <v>795</v>
      </c>
      <c r="T11" s="1" t="b">
        <f ca="1" t="shared" si="14"/>
        <v>1</v>
      </c>
      <c r="U11" s="1">
        <v>1</v>
      </c>
      <c r="V11" s="1">
        <f t="shared" si="19"/>
        <v>0</v>
      </c>
      <c r="W11" s="1">
        <f t="shared" si="15"/>
        <v>0</v>
      </c>
      <c r="X11" s="1">
        <f t="shared" si="16"/>
        <v>0</v>
      </c>
    </row>
    <row r="12" spans="1:24">
      <c r="A12" s="1">
        <v>10</v>
      </c>
      <c r="B12" s="1">
        <v>2</v>
      </c>
      <c r="C12" s="1">
        <f t="shared" si="0"/>
        <v>3</v>
      </c>
      <c r="D12" s="1">
        <f t="shared" si="1"/>
        <v>1</v>
      </c>
      <c r="E12" s="1">
        <f t="shared" si="2"/>
        <v>0</v>
      </c>
      <c r="F12" s="1">
        <f t="shared" si="3"/>
        <v>0</v>
      </c>
      <c r="G12" s="1">
        <f t="shared" si="17"/>
        <v>0.35</v>
      </c>
      <c r="H12" s="1">
        <f t="shared" si="4"/>
        <v>0</v>
      </c>
      <c r="I12" s="1">
        <f t="shared" si="5"/>
        <v>9.75</v>
      </c>
      <c r="J12" s="1">
        <f t="shared" si="6"/>
        <v>2</v>
      </c>
      <c r="K12" s="1">
        <v>150</v>
      </c>
      <c r="L12" s="1">
        <f t="shared" si="7"/>
        <v>202.5</v>
      </c>
      <c r="M12" s="1">
        <f t="shared" si="8"/>
        <v>405</v>
      </c>
      <c r="N12" s="1">
        <f t="shared" si="18"/>
        <v>3000</v>
      </c>
      <c r="O12" s="1">
        <f t="shared" si="9"/>
        <v>0</v>
      </c>
      <c r="P12" s="1">
        <f t="shared" si="10"/>
        <v>1</v>
      </c>
      <c r="Q12" s="1">
        <f t="shared" si="11"/>
        <v>0</v>
      </c>
      <c r="R12" s="1">
        <f t="shared" si="12"/>
        <v>450</v>
      </c>
      <c r="S12" s="1">
        <f t="shared" si="13"/>
        <v>750</v>
      </c>
      <c r="T12" s="1" t="b">
        <f ca="1" t="shared" si="14"/>
        <v>0</v>
      </c>
      <c r="U12" s="1">
        <v>1</v>
      </c>
      <c r="V12" s="1">
        <f t="shared" si="19"/>
        <v>0</v>
      </c>
      <c r="W12" s="1">
        <f t="shared" si="15"/>
        <v>0</v>
      </c>
      <c r="X12" s="1">
        <f t="shared" si="16"/>
        <v>0</v>
      </c>
    </row>
    <row r="13" spans="1:24">
      <c r="A13" s="1">
        <v>11</v>
      </c>
      <c r="B13" s="1">
        <v>2</v>
      </c>
      <c r="C13" s="1">
        <f t="shared" si="0"/>
        <v>3</v>
      </c>
      <c r="D13" s="1">
        <f t="shared" si="1"/>
        <v>2</v>
      </c>
      <c r="E13" s="1">
        <f t="shared" si="2"/>
        <v>0</v>
      </c>
      <c r="F13" s="1">
        <f t="shared" si="3"/>
        <v>0</v>
      </c>
      <c r="G13" s="1">
        <f t="shared" si="17"/>
        <v>0.35</v>
      </c>
      <c r="H13" s="1">
        <f t="shared" si="4"/>
        <v>0</v>
      </c>
      <c r="I13" s="1">
        <f t="shared" si="5"/>
        <v>9.75</v>
      </c>
      <c r="J13" s="1">
        <f t="shared" si="6"/>
        <v>2</v>
      </c>
      <c r="K13" s="1">
        <v>150</v>
      </c>
      <c r="L13" s="1">
        <f t="shared" si="7"/>
        <v>202.5</v>
      </c>
      <c r="M13" s="1">
        <f t="shared" si="8"/>
        <v>405</v>
      </c>
      <c r="N13" s="1">
        <f t="shared" si="18"/>
        <v>3405</v>
      </c>
      <c r="O13" s="1">
        <f t="shared" si="9"/>
        <v>0</v>
      </c>
      <c r="P13" s="1">
        <f t="shared" si="10"/>
        <v>1</v>
      </c>
      <c r="Q13" s="1">
        <f t="shared" si="11"/>
        <v>0</v>
      </c>
      <c r="R13" s="1">
        <f t="shared" si="12"/>
        <v>450</v>
      </c>
      <c r="S13" s="1">
        <f t="shared" si="13"/>
        <v>705</v>
      </c>
      <c r="T13" s="1" t="b">
        <f ca="1" t="shared" si="14"/>
        <v>0</v>
      </c>
      <c r="U13" s="1">
        <v>1</v>
      </c>
      <c r="V13" s="1">
        <f t="shared" si="19"/>
        <v>0</v>
      </c>
      <c r="W13" s="1">
        <f t="shared" si="15"/>
        <v>0</v>
      </c>
      <c r="X13" s="1">
        <f t="shared" si="16"/>
        <v>0</v>
      </c>
    </row>
    <row r="14" spans="1:24">
      <c r="A14" s="1">
        <v>12</v>
      </c>
      <c r="B14" s="1">
        <v>2</v>
      </c>
      <c r="C14" s="1">
        <f t="shared" si="0"/>
        <v>3</v>
      </c>
      <c r="D14" s="1">
        <f t="shared" si="1"/>
        <v>3</v>
      </c>
      <c r="E14" s="1">
        <f t="shared" si="2"/>
        <v>0</v>
      </c>
      <c r="F14" s="1">
        <f t="shared" si="3"/>
        <v>0</v>
      </c>
      <c r="G14" s="1">
        <f t="shared" si="17"/>
        <v>0.35</v>
      </c>
      <c r="H14" s="1">
        <f t="shared" si="4"/>
        <v>0</v>
      </c>
      <c r="I14" s="1">
        <f t="shared" si="5"/>
        <v>9.75</v>
      </c>
      <c r="J14" s="1">
        <f t="shared" si="6"/>
        <v>2</v>
      </c>
      <c r="K14" s="1">
        <v>150</v>
      </c>
      <c r="L14" s="1">
        <f t="shared" si="7"/>
        <v>202.5</v>
      </c>
      <c r="M14" s="1">
        <f t="shared" si="8"/>
        <v>405</v>
      </c>
      <c r="N14" s="1">
        <f t="shared" si="18"/>
        <v>3810</v>
      </c>
      <c r="O14" s="1">
        <f t="shared" si="9"/>
        <v>0</v>
      </c>
      <c r="P14" s="1">
        <f t="shared" si="10"/>
        <v>1</v>
      </c>
      <c r="Q14" s="1">
        <f t="shared" si="11"/>
        <v>0</v>
      </c>
      <c r="R14" s="1">
        <f t="shared" si="12"/>
        <v>450</v>
      </c>
      <c r="S14" s="1">
        <f t="shared" si="13"/>
        <v>660</v>
      </c>
      <c r="T14" s="1" t="b">
        <f ca="1" t="shared" si="14"/>
        <v>0</v>
      </c>
      <c r="U14" s="1">
        <v>1</v>
      </c>
      <c r="V14" s="1">
        <f t="shared" si="19"/>
        <v>0</v>
      </c>
      <c r="W14" s="1">
        <f t="shared" si="15"/>
        <v>0</v>
      </c>
      <c r="X14" s="1">
        <f t="shared" si="16"/>
        <v>0</v>
      </c>
    </row>
    <row r="15" spans="1:24">
      <c r="A15" s="1">
        <v>13</v>
      </c>
      <c r="B15" s="1">
        <v>2</v>
      </c>
      <c r="C15" s="1">
        <f t="shared" si="0"/>
        <v>3</v>
      </c>
      <c r="D15" s="1">
        <f t="shared" si="1"/>
        <v>3</v>
      </c>
      <c r="E15" s="1">
        <f t="shared" si="2"/>
        <v>0</v>
      </c>
      <c r="F15" s="1">
        <f t="shared" si="3"/>
        <v>0</v>
      </c>
      <c r="G15" s="1">
        <f t="shared" si="17"/>
        <v>0.35</v>
      </c>
      <c r="H15" s="1">
        <f t="shared" si="4"/>
        <v>0</v>
      </c>
      <c r="I15" s="1">
        <f t="shared" si="5"/>
        <v>9.75</v>
      </c>
      <c r="J15" s="1">
        <f t="shared" si="6"/>
        <v>2</v>
      </c>
      <c r="K15" s="1">
        <v>150</v>
      </c>
      <c r="L15" s="1">
        <f t="shared" si="7"/>
        <v>202.5</v>
      </c>
      <c r="M15" s="1">
        <f t="shared" si="8"/>
        <v>405</v>
      </c>
      <c r="N15" s="1">
        <f t="shared" si="18"/>
        <v>4215</v>
      </c>
      <c r="O15" s="1">
        <f t="shared" si="9"/>
        <v>0</v>
      </c>
      <c r="P15" s="1">
        <f t="shared" si="10"/>
        <v>0</v>
      </c>
      <c r="Q15" s="1">
        <f t="shared" si="11"/>
        <v>1</v>
      </c>
      <c r="R15" s="1">
        <f t="shared" si="12"/>
        <v>450</v>
      </c>
      <c r="S15" s="1">
        <f t="shared" si="13"/>
        <v>615</v>
      </c>
      <c r="T15" s="1" t="b">
        <f ca="1" t="shared" si="14"/>
        <v>0</v>
      </c>
      <c r="U15" s="1">
        <v>1</v>
      </c>
      <c r="V15" s="1">
        <f t="shared" si="19"/>
        <v>0</v>
      </c>
      <c r="W15" s="1">
        <f t="shared" si="15"/>
        <v>0</v>
      </c>
      <c r="X15" s="1">
        <f t="shared" si="16"/>
        <v>0</v>
      </c>
    </row>
    <row r="16" spans="1:24">
      <c r="A16" s="1">
        <v>14</v>
      </c>
      <c r="B16" s="1">
        <v>2</v>
      </c>
      <c r="C16" s="1">
        <f t="shared" si="0"/>
        <v>3</v>
      </c>
      <c r="D16" s="1">
        <f t="shared" si="1"/>
        <v>3</v>
      </c>
      <c r="E16" s="1">
        <f t="shared" si="2"/>
        <v>1</v>
      </c>
      <c r="F16" s="1">
        <f t="shared" si="3"/>
        <v>0</v>
      </c>
      <c r="G16" s="1">
        <f t="shared" si="17"/>
        <v>0.35</v>
      </c>
      <c r="H16" s="1">
        <f t="shared" si="4"/>
        <v>0</v>
      </c>
      <c r="I16" s="1">
        <f t="shared" si="5"/>
        <v>9.75</v>
      </c>
      <c r="J16" s="1">
        <f t="shared" si="6"/>
        <v>2</v>
      </c>
      <c r="K16" s="1">
        <v>150</v>
      </c>
      <c r="L16" s="1">
        <f t="shared" si="7"/>
        <v>202.5</v>
      </c>
      <c r="M16" s="1">
        <f t="shared" si="8"/>
        <v>405</v>
      </c>
      <c r="N16" s="1">
        <f t="shared" si="18"/>
        <v>4620</v>
      </c>
      <c r="O16" s="1">
        <f t="shared" si="9"/>
        <v>0</v>
      </c>
      <c r="P16" s="1">
        <f t="shared" si="10"/>
        <v>0</v>
      </c>
      <c r="Q16" s="1">
        <f t="shared" si="11"/>
        <v>1</v>
      </c>
      <c r="R16" s="1">
        <f t="shared" si="12"/>
        <v>450</v>
      </c>
      <c r="S16" s="1">
        <f t="shared" si="13"/>
        <v>570</v>
      </c>
      <c r="T16" s="1" t="b">
        <f ca="1" t="shared" si="14"/>
        <v>0</v>
      </c>
      <c r="U16" s="1">
        <v>1</v>
      </c>
      <c r="V16" s="1">
        <f t="shared" si="19"/>
        <v>0</v>
      </c>
      <c r="W16" s="1">
        <f t="shared" si="15"/>
        <v>0</v>
      </c>
      <c r="X16" s="1">
        <f t="shared" si="16"/>
        <v>0</v>
      </c>
    </row>
    <row r="17" spans="1:24">
      <c r="A17" s="1">
        <v>15</v>
      </c>
      <c r="B17" s="1">
        <v>2</v>
      </c>
      <c r="C17" s="1">
        <f t="shared" si="0"/>
        <v>3</v>
      </c>
      <c r="D17" s="1">
        <f t="shared" si="1"/>
        <v>3</v>
      </c>
      <c r="E17" s="1">
        <f t="shared" si="2"/>
        <v>2</v>
      </c>
      <c r="F17" s="1">
        <f t="shared" si="3"/>
        <v>0</v>
      </c>
      <c r="G17" s="1">
        <f t="shared" si="17"/>
        <v>0.35</v>
      </c>
      <c r="H17" s="1">
        <f t="shared" si="4"/>
        <v>0</v>
      </c>
      <c r="I17" s="1">
        <f t="shared" si="5"/>
        <v>9.75</v>
      </c>
      <c r="J17" s="1">
        <f t="shared" si="6"/>
        <v>2</v>
      </c>
      <c r="K17" s="1">
        <v>150</v>
      </c>
      <c r="L17" s="1">
        <f t="shared" si="7"/>
        <v>202.5</v>
      </c>
      <c r="M17" s="1">
        <f t="shared" si="8"/>
        <v>405</v>
      </c>
      <c r="N17" s="1">
        <f t="shared" si="18"/>
        <v>5025</v>
      </c>
      <c r="O17" s="1">
        <f t="shared" si="9"/>
        <v>0</v>
      </c>
      <c r="P17" s="1">
        <f t="shared" si="10"/>
        <v>0</v>
      </c>
      <c r="Q17" s="1">
        <f t="shared" si="11"/>
        <v>1</v>
      </c>
      <c r="R17" s="1">
        <f t="shared" si="12"/>
        <v>450</v>
      </c>
      <c r="S17" s="1">
        <f t="shared" si="13"/>
        <v>525</v>
      </c>
      <c r="T17" s="1" t="b">
        <f ca="1" t="shared" si="14"/>
        <v>0</v>
      </c>
      <c r="U17" s="1">
        <v>1</v>
      </c>
      <c r="V17" s="1">
        <f t="shared" si="19"/>
        <v>0</v>
      </c>
      <c r="W17" s="1">
        <f t="shared" si="15"/>
        <v>0</v>
      </c>
      <c r="X17" s="1">
        <f t="shared" si="16"/>
        <v>0</v>
      </c>
    </row>
    <row r="18" spans="1:24">
      <c r="A18" s="1">
        <v>16</v>
      </c>
      <c r="B18" s="1">
        <v>2</v>
      </c>
      <c r="C18" s="1">
        <f t="shared" si="0"/>
        <v>3</v>
      </c>
      <c r="D18" s="1">
        <f t="shared" si="1"/>
        <v>3</v>
      </c>
      <c r="E18" s="1">
        <f t="shared" si="2"/>
        <v>3</v>
      </c>
      <c r="F18" s="1">
        <f t="shared" si="3"/>
        <v>0</v>
      </c>
      <c r="G18" s="1">
        <f t="shared" si="17"/>
        <v>0.35</v>
      </c>
      <c r="H18" s="1">
        <f t="shared" si="4"/>
        <v>0</v>
      </c>
      <c r="I18" s="1">
        <f t="shared" si="5"/>
        <v>9.75</v>
      </c>
      <c r="J18" s="1">
        <f t="shared" si="6"/>
        <v>2</v>
      </c>
      <c r="K18" s="1">
        <v>150</v>
      </c>
      <c r="L18" s="1">
        <f t="shared" si="7"/>
        <v>202.5</v>
      </c>
      <c r="M18" s="1">
        <f t="shared" si="8"/>
        <v>405</v>
      </c>
      <c r="N18" s="1">
        <f t="shared" si="18"/>
        <v>5430</v>
      </c>
      <c r="O18" s="1">
        <f t="shared" si="9"/>
        <v>0</v>
      </c>
      <c r="P18" s="1">
        <f t="shared" si="10"/>
        <v>0</v>
      </c>
      <c r="Q18" s="1">
        <f t="shared" si="11"/>
        <v>1</v>
      </c>
      <c r="R18" s="1">
        <f t="shared" si="12"/>
        <v>450</v>
      </c>
      <c r="S18" s="1">
        <f t="shared" si="13"/>
        <v>480</v>
      </c>
      <c r="T18" s="1" t="b">
        <f ca="1" t="shared" si="14"/>
        <v>1</v>
      </c>
      <c r="U18" s="1">
        <v>1</v>
      </c>
      <c r="V18" s="1">
        <f t="shared" si="19"/>
        <v>0</v>
      </c>
      <c r="W18" s="1">
        <f t="shared" si="15"/>
        <v>0</v>
      </c>
      <c r="X18" s="1">
        <f t="shared" si="16"/>
        <v>0</v>
      </c>
    </row>
    <row r="19" spans="1:24">
      <c r="A19" s="1">
        <v>17</v>
      </c>
      <c r="B19" s="1">
        <v>2</v>
      </c>
      <c r="C19" s="1">
        <f t="shared" si="0"/>
        <v>3</v>
      </c>
      <c r="D19" s="1">
        <f t="shared" si="1"/>
        <v>3</v>
      </c>
      <c r="E19" s="1">
        <f t="shared" si="2"/>
        <v>3</v>
      </c>
      <c r="F19" s="1">
        <f t="shared" si="3"/>
        <v>1</v>
      </c>
      <c r="G19" s="1">
        <f t="shared" si="17"/>
        <v>0.35</v>
      </c>
      <c r="H19" s="1">
        <f t="shared" si="4"/>
        <v>0</v>
      </c>
      <c r="I19" s="1">
        <f t="shared" si="5"/>
        <v>9.75</v>
      </c>
      <c r="J19" s="1">
        <f t="shared" si="6"/>
        <v>2</v>
      </c>
      <c r="K19" s="1">
        <v>150</v>
      </c>
      <c r="L19" s="1">
        <f t="shared" si="7"/>
        <v>202.5</v>
      </c>
      <c r="M19" s="1">
        <f t="shared" si="8"/>
        <v>405</v>
      </c>
      <c r="N19" s="1">
        <f t="shared" si="18"/>
        <v>5835</v>
      </c>
      <c r="O19" s="1">
        <f t="shared" si="9"/>
        <v>0</v>
      </c>
      <c r="P19" s="1">
        <f t="shared" si="10"/>
        <v>0</v>
      </c>
      <c r="Q19" s="1">
        <f t="shared" si="11"/>
        <v>0</v>
      </c>
      <c r="R19" s="1">
        <f t="shared" si="12"/>
        <v>0</v>
      </c>
      <c r="S19" s="1">
        <f t="shared" si="13"/>
        <v>885</v>
      </c>
      <c r="T19" s="1" t="b">
        <f ca="1" t="shared" si="14"/>
        <v>1</v>
      </c>
      <c r="U19" s="1">
        <v>1</v>
      </c>
      <c r="V19" s="1">
        <f t="shared" si="19"/>
        <v>0</v>
      </c>
      <c r="W19" s="1">
        <f t="shared" si="15"/>
        <v>0</v>
      </c>
      <c r="X19" s="1">
        <f t="shared" si="16"/>
        <v>0</v>
      </c>
    </row>
    <row r="20" spans="1:24">
      <c r="A20" s="1">
        <v>18</v>
      </c>
      <c r="B20" s="1">
        <v>2</v>
      </c>
      <c r="C20" s="1">
        <f t="shared" si="0"/>
        <v>3</v>
      </c>
      <c r="D20" s="1">
        <f t="shared" si="1"/>
        <v>3</v>
      </c>
      <c r="E20" s="1">
        <f t="shared" si="2"/>
        <v>3</v>
      </c>
      <c r="F20" s="1">
        <f t="shared" si="3"/>
        <v>1</v>
      </c>
      <c r="G20" s="1">
        <f t="shared" si="17"/>
        <v>0.35</v>
      </c>
      <c r="H20" s="1">
        <f t="shared" si="4"/>
        <v>0</v>
      </c>
      <c r="I20" s="1">
        <f t="shared" si="5"/>
        <v>9.75</v>
      </c>
      <c r="J20" s="1">
        <f t="shared" si="6"/>
        <v>2</v>
      </c>
      <c r="K20" s="1">
        <v>150</v>
      </c>
      <c r="L20" s="1">
        <f t="shared" si="7"/>
        <v>202.5</v>
      </c>
      <c r="M20" s="1">
        <f t="shared" si="8"/>
        <v>405</v>
      </c>
      <c r="N20" s="1">
        <f t="shared" si="18"/>
        <v>6240</v>
      </c>
      <c r="O20" s="1">
        <f t="shared" si="9"/>
        <v>0</v>
      </c>
      <c r="P20" s="1">
        <f t="shared" si="10"/>
        <v>0</v>
      </c>
      <c r="Q20" s="1">
        <f t="shared" si="11"/>
        <v>0</v>
      </c>
      <c r="R20" s="1">
        <f t="shared" si="12"/>
        <v>0</v>
      </c>
      <c r="S20" s="1">
        <f t="shared" si="13"/>
        <v>1290</v>
      </c>
      <c r="T20" s="1" t="b">
        <f ca="1" t="shared" si="14"/>
        <v>0</v>
      </c>
      <c r="U20" s="1">
        <v>1</v>
      </c>
      <c r="V20" s="1">
        <f t="shared" si="19"/>
        <v>0</v>
      </c>
      <c r="W20" s="1">
        <f t="shared" si="15"/>
        <v>0</v>
      </c>
      <c r="X20" s="1">
        <f t="shared" si="16"/>
        <v>0</v>
      </c>
    </row>
    <row r="21" spans="1:24">
      <c r="A21" s="1">
        <v>19</v>
      </c>
      <c r="B21" s="1">
        <v>2</v>
      </c>
      <c r="C21" s="1">
        <f t="shared" si="0"/>
        <v>3</v>
      </c>
      <c r="D21" s="1">
        <f t="shared" si="1"/>
        <v>3</v>
      </c>
      <c r="E21" s="1">
        <f t="shared" si="2"/>
        <v>3</v>
      </c>
      <c r="F21" s="1">
        <f t="shared" si="3"/>
        <v>1</v>
      </c>
      <c r="G21" s="1">
        <f t="shared" si="17"/>
        <v>0.5</v>
      </c>
      <c r="H21" s="1">
        <f t="shared" si="4"/>
        <v>0</v>
      </c>
      <c r="I21" s="1">
        <f t="shared" si="5"/>
        <v>7.5</v>
      </c>
      <c r="J21" s="1">
        <f t="shared" si="6"/>
        <v>2</v>
      </c>
      <c r="K21" s="1">
        <v>150</v>
      </c>
      <c r="L21" s="1">
        <f t="shared" si="7"/>
        <v>225</v>
      </c>
      <c r="M21" s="1">
        <f t="shared" si="8"/>
        <v>450</v>
      </c>
      <c r="N21" s="1">
        <f t="shared" si="18"/>
        <v>6690</v>
      </c>
      <c r="O21" s="1">
        <f t="shared" si="9"/>
        <v>0</v>
      </c>
      <c r="P21" s="1">
        <f t="shared" si="10"/>
        <v>0</v>
      </c>
      <c r="Q21" s="1">
        <f t="shared" si="11"/>
        <v>0</v>
      </c>
      <c r="R21" s="1">
        <f t="shared" si="12"/>
        <v>1000</v>
      </c>
      <c r="S21" s="1">
        <f t="shared" si="13"/>
        <v>740</v>
      </c>
      <c r="T21" s="1" t="b">
        <f ca="1" t="shared" si="14"/>
        <v>0</v>
      </c>
      <c r="U21" s="1">
        <v>1</v>
      </c>
      <c r="V21" s="1">
        <f t="shared" si="19"/>
        <v>0</v>
      </c>
      <c r="W21" s="1">
        <f t="shared" si="15"/>
        <v>1</v>
      </c>
      <c r="X21" s="1">
        <f t="shared" si="16"/>
        <v>1</v>
      </c>
    </row>
    <row r="22" spans="1:24">
      <c r="A22" s="1">
        <v>20</v>
      </c>
      <c r="B22" s="1">
        <v>2</v>
      </c>
      <c r="C22" s="1">
        <f t="shared" si="0"/>
        <v>3</v>
      </c>
      <c r="D22" s="1">
        <f t="shared" si="1"/>
        <v>3</v>
      </c>
      <c r="E22" s="1">
        <f t="shared" si="2"/>
        <v>3</v>
      </c>
      <c r="F22" s="1">
        <f t="shared" si="3"/>
        <v>1</v>
      </c>
      <c r="G22" s="1">
        <f t="shared" si="17"/>
        <v>0.5</v>
      </c>
      <c r="H22" s="1">
        <f t="shared" si="4"/>
        <v>0</v>
      </c>
      <c r="I22" s="1">
        <f t="shared" si="5"/>
        <v>7.5</v>
      </c>
      <c r="J22" s="1">
        <f t="shared" si="6"/>
        <v>2</v>
      </c>
      <c r="K22" s="1">
        <v>150</v>
      </c>
      <c r="L22" s="1">
        <f t="shared" si="7"/>
        <v>225</v>
      </c>
      <c r="M22" s="1">
        <f t="shared" si="8"/>
        <v>450</v>
      </c>
      <c r="N22" s="1">
        <f t="shared" si="18"/>
        <v>7140</v>
      </c>
      <c r="O22" s="1">
        <f t="shared" si="9"/>
        <v>0</v>
      </c>
      <c r="P22" s="1">
        <f t="shared" si="10"/>
        <v>0</v>
      </c>
      <c r="Q22" s="1">
        <f t="shared" si="11"/>
        <v>0</v>
      </c>
      <c r="R22" s="1">
        <f t="shared" si="12"/>
        <v>0</v>
      </c>
      <c r="S22" s="1">
        <f t="shared" si="13"/>
        <v>1190</v>
      </c>
      <c r="T22" s="1" t="b">
        <f ca="1" t="shared" si="14"/>
        <v>0</v>
      </c>
      <c r="U22" s="1">
        <v>1</v>
      </c>
      <c r="V22" s="1">
        <f t="shared" si="19"/>
        <v>0</v>
      </c>
      <c r="W22" s="1">
        <f t="shared" si="15"/>
        <v>1</v>
      </c>
      <c r="X22" s="1">
        <f t="shared" si="16"/>
        <v>0</v>
      </c>
    </row>
    <row r="23" spans="1:24">
      <c r="A23" s="1">
        <v>21</v>
      </c>
      <c r="B23" s="1">
        <v>2</v>
      </c>
      <c r="C23" s="1">
        <f t="shared" si="0"/>
        <v>3</v>
      </c>
      <c r="D23" s="1">
        <f t="shared" si="1"/>
        <v>3</v>
      </c>
      <c r="E23" s="1">
        <f t="shared" si="2"/>
        <v>3</v>
      </c>
      <c r="F23" s="1">
        <f t="shared" si="3"/>
        <v>1</v>
      </c>
      <c r="G23" s="1">
        <f t="shared" si="17"/>
        <v>0.5</v>
      </c>
      <c r="H23" s="1">
        <f t="shared" si="4"/>
        <v>0</v>
      </c>
      <c r="I23" s="1">
        <f t="shared" si="5"/>
        <v>7.5</v>
      </c>
      <c r="J23" s="1">
        <f t="shared" si="6"/>
        <v>2</v>
      </c>
      <c r="K23" s="1">
        <v>150</v>
      </c>
      <c r="L23" s="1">
        <f t="shared" si="7"/>
        <v>225</v>
      </c>
      <c r="M23" s="1">
        <f t="shared" si="8"/>
        <v>450</v>
      </c>
      <c r="N23" s="1">
        <f t="shared" si="18"/>
        <v>7590</v>
      </c>
      <c r="O23" s="1">
        <f t="shared" si="9"/>
        <v>0</v>
      </c>
      <c r="P23" s="1">
        <f t="shared" si="10"/>
        <v>0</v>
      </c>
      <c r="Q23" s="1">
        <f t="shared" si="11"/>
        <v>0</v>
      </c>
      <c r="R23" s="1">
        <f t="shared" si="12"/>
        <v>0</v>
      </c>
      <c r="S23" s="1">
        <f t="shared" si="13"/>
        <v>1640</v>
      </c>
      <c r="T23" s="1" t="b">
        <f ca="1" t="shared" si="14"/>
        <v>0</v>
      </c>
      <c r="U23" s="1">
        <v>1</v>
      </c>
      <c r="V23" s="1">
        <f t="shared" si="19"/>
        <v>0</v>
      </c>
      <c r="W23" s="1">
        <f t="shared" si="15"/>
        <v>1</v>
      </c>
      <c r="X23" s="1">
        <f t="shared" si="16"/>
        <v>0</v>
      </c>
    </row>
    <row r="24" spans="1:24">
      <c r="A24" s="1">
        <v>22</v>
      </c>
      <c r="B24" s="1">
        <v>2</v>
      </c>
      <c r="C24" s="1">
        <f t="shared" si="0"/>
        <v>3</v>
      </c>
      <c r="D24" s="1">
        <f t="shared" si="1"/>
        <v>3</v>
      </c>
      <c r="E24" s="1">
        <f t="shared" si="2"/>
        <v>3</v>
      </c>
      <c r="F24" s="1">
        <f t="shared" si="3"/>
        <v>1</v>
      </c>
      <c r="G24" s="1">
        <f t="shared" si="17"/>
        <v>0.5</v>
      </c>
      <c r="H24" s="1">
        <f t="shared" si="4"/>
        <v>0</v>
      </c>
      <c r="I24" s="1">
        <f t="shared" si="5"/>
        <v>7.5</v>
      </c>
      <c r="J24" s="1">
        <f t="shared" si="6"/>
        <v>2</v>
      </c>
      <c r="K24" s="1">
        <v>150</v>
      </c>
      <c r="L24" s="1">
        <f t="shared" si="7"/>
        <v>225</v>
      </c>
      <c r="M24" s="1">
        <f t="shared" si="8"/>
        <v>450</v>
      </c>
      <c r="N24" s="1">
        <f t="shared" si="18"/>
        <v>8040</v>
      </c>
      <c r="O24" s="1">
        <f t="shared" si="9"/>
        <v>0</v>
      </c>
      <c r="P24" s="1">
        <f t="shared" si="10"/>
        <v>0</v>
      </c>
      <c r="Q24" s="1">
        <f t="shared" si="11"/>
        <v>0</v>
      </c>
      <c r="R24" s="1">
        <f t="shared" si="12"/>
        <v>0</v>
      </c>
      <c r="S24" s="1">
        <f t="shared" si="13"/>
        <v>2090</v>
      </c>
      <c r="T24" s="1" t="b">
        <f ca="1" t="shared" si="14"/>
        <v>0</v>
      </c>
      <c r="U24" s="1">
        <v>1</v>
      </c>
      <c r="V24" s="1">
        <f t="shared" si="19"/>
        <v>0</v>
      </c>
      <c r="W24" s="1">
        <f t="shared" si="15"/>
        <v>1</v>
      </c>
      <c r="X24" s="1">
        <f t="shared" si="16"/>
        <v>0</v>
      </c>
    </row>
    <row r="25" spans="1:24">
      <c r="A25" s="1">
        <v>23</v>
      </c>
      <c r="B25" s="1">
        <v>2</v>
      </c>
      <c r="C25" s="1">
        <f t="shared" si="0"/>
        <v>3</v>
      </c>
      <c r="D25" s="1">
        <f t="shared" si="1"/>
        <v>3</v>
      </c>
      <c r="E25" s="1">
        <f t="shared" si="2"/>
        <v>3</v>
      </c>
      <c r="F25" s="1">
        <f t="shared" si="3"/>
        <v>1</v>
      </c>
      <c r="G25" s="1">
        <f t="shared" si="17"/>
        <v>0.5</v>
      </c>
      <c r="H25" s="1">
        <f t="shared" si="4"/>
        <v>0</v>
      </c>
      <c r="I25" s="1">
        <f t="shared" si="5"/>
        <v>7.5</v>
      </c>
      <c r="J25" s="1">
        <f t="shared" si="6"/>
        <v>2</v>
      </c>
      <c r="K25" s="1">
        <v>150</v>
      </c>
      <c r="L25" s="1">
        <f t="shared" si="7"/>
        <v>225</v>
      </c>
      <c r="M25" s="1">
        <f t="shared" si="8"/>
        <v>450</v>
      </c>
      <c r="N25" s="1">
        <f t="shared" si="18"/>
        <v>8490</v>
      </c>
      <c r="O25" s="1">
        <f t="shared" si="9"/>
        <v>0</v>
      </c>
      <c r="P25" s="1">
        <f t="shared" si="10"/>
        <v>0</v>
      </c>
      <c r="Q25" s="1">
        <f t="shared" si="11"/>
        <v>0</v>
      </c>
      <c r="R25" s="1">
        <f t="shared" si="12"/>
        <v>0</v>
      </c>
      <c r="S25" s="1">
        <f t="shared" si="13"/>
        <v>2540</v>
      </c>
      <c r="T25" s="1" t="b">
        <f ca="1" t="shared" si="14"/>
        <v>0</v>
      </c>
      <c r="U25" s="1">
        <v>1</v>
      </c>
      <c r="V25" s="1">
        <f t="shared" si="19"/>
        <v>0</v>
      </c>
      <c r="W25" s="1">
        <f t="shared" si="15"/>
        <v>1</v>
      </c>
      <c r="X25" s="1">
        <f t="shared" si="16"/>
        <v>0</v>
      </c>
    </row>
    <row r="26" spans="1:24">
      <c r="A26" s="1">
        <v>24</v>
      </c>
      <c r="B26" s="1">
        <v>2</v>
      </c>
      <c r="C26" s="1">
        <f t="shared" si="0"/>
        <v>3</v>
      </c>
      <c r="D26" s="1">
        <f t="shared" si="1"/>
        <v>3</v>
      </c>
      <c r="E26" s="1">
        <f t="shared" si="2"/>
        <v>3</v>
      </c>
      <c r="F26" s="1">
        <f t="shared" si="3"/>
        <v>1</v>
      </c>
      <c r="G26" s="1">
        <f t="shared" si="17"/>
        <v>0.5</v>
      </c>
      <c r="H26" s="1">
        <f t="shared" si="4"/>
        <v>0</v>
      </c>
      <c r="I26" s="1">
        <f t="shared" si="5"/>
        <v>7.5</v>
      </c>
      <c r="J26" s="1">
        <f t="shared" si="6"/>
        <v>2</v>
      </c>
      <c r="K26" s="1">
        <v>150</v>
      </c>
      <c r="L26" s="1">
        <f t="shared" si="7"/>
        <v>225</v>
      </c>
      <c r="M26" s="1">
        <f t="shared" si="8"/>
        <v>450</v>
      </c>
      <c r="N26" s="1">
        <f t="shared" si="18"/>
        <v>8940</v>
      </c>
      <c r="O26" s="1">
        <f t="shared" si="9"/>
        <v>0</v>
      </c>
      <c r="P26" s="1">
        <f t="shared" si="10"/>
        <v>0</v>
      </c>
      <c r="Q26" s="1">
        <f t="shared" si="11"/>
        <v>0</v>
      </c>
      <c r="R26" s="1">
        <f t="shared" si="12"/>
        <v>0</v>
      </c>
      <c r="S26" s="1">
        <f t="shared" si="13"/>
        <v>2990</v>
      </c>
      <c r="T26" s="1" t="b">
        <f ca="1" t="shared" si="14"/>
        <v>0</v>
      </c>
      <c r="U26" s="1">
        <v>1</v>
      </c>
      <c r="V26" s="1">
        <f t="shared" si="19"/>
        <v>0</v>
      </c>
      <c r="W26" s="1">
        <f t="shared" si="15"/>
        <v>1</v>
      </c>
      <c r="X26" s="1">
        <f t="shared" si="16"/>
        <v>0</v>
      </c>
    </row>
    <row r="27" spans="1:24">
      <c r="A27" s="1">
        <v>25</v>
      </c>
      <c r="B27" s="1">
        <v>2</v>
      </c>
      <c r="C27" s="1">
        <f t="shared" si="0"/>
        <v>3</v>
      </c>
      <c r="D27" s="1">
        <f t="shared" si="1"/>
        <v>3</v>
      </c>
      <c r="E27" s="1">
        <f t="shared" si="2"/>
        <v>3</v>
      </c>
      <c r="F27" s="1">
        <f t="shared" si="3"/>
        <v>1</v>
      </c>
      <c r="G27" s="1">
        <f t="shared" si="17"/>
        <v>0.5</v>
      </c>
      <c r="H27" s="1">
        <f t="shared" si="4"/>
        <v>0</v>
      </c>
      <c r="I27" s="1">
        <f t="shared" si="5"/>
        <v>7.5</v>
      </c>
      <c r="J27" s="1">
        <f t="shared" si="6"/>
        <v>2</v>
      </c>
      <c r="K27" s="1">
        <v>150</v>
      </c>
      <c r="L27" s="1">
        <f t="shared" si="7"/>
        <v>225</v>
      </c>
      <c r="M27" s="1">
        <f t="shared" si="8"/>
        <v>450</v>
      </c>
      <c r="N27" s="1">
        <f t="shared" si="18"/>
        <v>9390</v>
      </c>
      <c r="O27" s="1">
        <f t="shared" si="9"/>
        <v>0</v>
      </c>
      <c r="P27" s="1">
        <f t="shared" si="10"/>
        <v>0</v>
      </c>
      <c r="Q27" s="1">
        <f t="shared" si="11"/>
        <v>0</v>
      </c>
      <c r="R27" s="1">
        <f t="shared" si="12"/>
        <v>0</v>
      </c>
      <c r="S27" s="1">
        <f t="shared" si="13"/>
        <v>3440</v>
      </c>
      <c r="T27" s="1" t="b">
        <f ca="1" t="shared" si="14"/>
        <v>0</v>
      </c>
      <c r="U27" s="1">
        <v>1</v>
      </c>
      <c r="V27" s="1">
        <f t="shared" si="19"/>
        <v>0</v>
      </c>
      <c r="W27" s="1">
        <f t="shared" si="15"/>
        <v>1</v>
      </c>
      <c r="X27" s="1">
        <f t="shared" si="16"/>
        <v>0</v>
      </c>
    </row>
    <row r="28" spans="1:24">
      <c r="A28" s="1">
        <v>26</v>
      </c>
      <c r="B28" s="1">
        <v>2</v>
      </c>
      <c r="C28" s="1">
        <f t="shared" si="0"/>
        <v>3</v>
      </c>
      <c r="D28" s="1">
        <f t="shared" si="1"/>
        <v>3</v>
      </c>
      <c r="E28" s="1">
        <f t="shared" si="2"/>
        <v>3</v>
      </c>
      <c r="F28" s="1">
        <f t="shared" si="3"/>
        <v>1</v>
      </c>
      <c r="G28" s="1">
        <f t="shared" si="17"/>
        <v>0.5</v>
      </c>
      <c r="H28" s="1">
        <f t="shared" si="4"/>
        <v>0</v>
      </c>
      <c r="I28" s="1">
        <f t="shared" si="5"/>
        <v>7.5</v>
      </c>
      <c r="J28" s="1">
        <f t="shared" si="6"/>
        <v>2</v>
      </c>
      <c r="K28" s="1">
        <v>150</v>
      </c>
      <c r="L28" s="1">
        <f t="shared" si="7"/>
        <v>225</v>
      </c>
      <c r="M28" s="1">
        <f t="shared" si="8"/>
        <v>450</v>
      </c>
      <c r="N28" s="1">
        <f t="shared" si="18"/>
        <v>9840</v>
      </c>
      <c r="O28" s="1">
        <f t="shared" si="9"/>
        <v>0</v>
      </c>
      <c r="P28" s="1">
        <f t="shared" si="10"/>
        <v>0</v>
      </c>
      <c r="Q28" s="1">
        <f t="shared" si="11"/>
        <v>0</v>
      </c>
      <c r="R28" s="1">
        <f t="shared" si="12"/>
        <v>0</v>
      </c>
      <c r="S28" s="1">
        <f t="shared" si="13"/>
        <v>3890</v>
      </c>
      <c r="T28" s="1" t="b">
        <f ca="1" t="shared" si="14"/>
        <v>0</v>
      </c>
      <c r="U28" s="1">
        <v>1</v>
      </c>
      <c r="V28" s="1">
        <f t="shared" si="19"/>
        <v>0</v>
      </c>
      <c r="W28" s="1">
        <f t="shared" si="15"/>
        <v>1</v>
      </c>
      <c r="X28" s="1">
        <f t="shared" si="16"/>
        <v>0</v>
      </c>
    </row>
    <row r="29" spans="1:24">
      <c r="A29" s="1">
        <v>27</v>
      </c>
      <c r="B29" s="1">
        <v>2</v>
      </c>
      <c r="C29" s="1">
        <f t="shared" si="0"/>
        <v>3</v>
      </c>
      <c r="D29" s="1">
        <f t="shared" si="1"/>
        <v>3</v>
      </c>
      <c r="E29" s="1">
        <f t="shared" si="2"/>
        <v>3</v>
      </c>
      <c r="F29" s="1">
        <f t="shared" si="3"/>
        <v>1</v>
      </c>
      <c r="G29" s="1">
        <f t="shared" si="17"/>
        <v>0.5</v>
      </c>
      <c r="H29" s="1">
        <f t="shared" si="4"/>
        <v>0</v>
      </c>
      <c r="I29" s="1">
        <f t="shared" si="5"/>
        <v>7.5</v>
      </c>
      <c r="J29" s="1">
        <f t="shared" si="6"/>
        <v>2</v>
      </c>
      <c r="K29" s="1">
        <v>150</v>
      </c>
      <c r="L29" s="1">
        <f t="shared" si="7"/>
        <v>225</v>
      </c>
      <c r="M29" s="1">
        <f t="shared" si="8"/>
        <v>450</v>
      </c>
      <c r="N29" s="1">
        <f t="shared" si="18"/>
        <v>10290</v>
      </c>
      <c r="O29" s="1">
        <f t="shared" si="9"/>
        <v>0</v>
      </c>
      <c r="P29" s="1">
        <f t="shared" si="10"/>
        <v>0</v>
      </c>
      <c r="Q29" s="1">
        <f t="shared" si="11"/>
        <v>0</v>
      </c>
      <c r="R29" s="1">
        <f t="shared" si="12"/>
        <v>0</v>
      </c>
      <c r="S29" s="1">
        <f t="shared" si="13"/>
        <v>4340</v>
      </c>
      <c r="T29" s="1" t="b">
        <f ca="1" t="shared" si="14"/>
        <v>0</v>
      </c>
      <c r="U29" s="1">
        <v>1</v>
      </c>
      <c r="V29" s="1">
        <f t="shared" si="19"/>
        <v>0</v>
      </c>
      <c r="W29" s="1">
        <f t="shared" si="15"/>
        <v>1</v>
      </c>
      <c r="X29" s="1">
        <f t="shared" si="16"/>
        <v>0</v>
      </c>
    </row>
    <row r="30" spans="1:24">
      <c r="A30" s="1">
        <v>28</v>
      </c>
      <c r="B30" s="1">
        <v>2</v>
      </c>
      <c r="C30" s="1">
        <f t="shared" si="0"/>
        <v>3</v>
      </c>
      <c r="D30" s="1">
        <f t="shared" si="1"/>
        <v>3</v>
      </c>
      <c r="E30" s="1">
        <f t="shared" si="2"/>
        <v>3</v>
      </c>
      <c r="F30" s="1">
        <f t="shared" si="3"/>
        <v>1</v>
      </c>
      <c r="G30" s="1">
        <f t="shared" si="17"/>
        <v>0.5</v>
      </c>
      <c r="H30" s="1">
        <f t="shared" si="4"/>
        <v>0</v>
      </c>
      <c r="I30" s="1">
        <f t="shared" si="5"/>
        <v>7.5</v>
      </c>
      <c r="J30" s="1">
        <f t="shared" si="6"/>
        <v>2</v>
      </c>
      <c r="K30" s="1">
        <v>150</v>
      </c>
      <c r="L30" s="1">
        <f t="shared" si="7"/>
        <v>225</v>
      </c>
      <c r="M30" s="1">
        <f t="shared" si="8"/>
        <v>450</v>
      </c>
      <c r="N30" s="1">
        <f t="shared" si="18"/>
        <v>10740</v>
      </c>
      <c r="O30" s="1">
        <f t="shared" si="9"/>
        <v>0</v>
      </c>
      <c r="P30" s="1">
        <f t="shared" si="10"/>
        <v>0</v>
      </c>
      <c r="Q30" s="1">
        <f t="shared" si="11"/>
        <v>0</v>
      </c>
      <c r="R30" s="1">
        <f t="shared" si="12"/>
        <v>0</v>
      </c>
      <c r="S30" s="1">
        <f t="shared" si="13"/>
        <v>4790</v>
      </c>
      <c r="T30" s="1" t="b">
        <f ca="1" t="shared" si="14"/>
        <v>0</v>
      </c>
      <c r="U30" s="1">
        <v>1</v>
      </c>
      <c r="V30" s="1">
        <f t="shared" si="19"/>
        <v>0</v>
      </c>
      <c r="W30" s="1">
        <f t="shared" si="15"/>
        <v>1</v>
      </c>
      <c r="X30" s="1">
        <f t="shared" si="16"/>
        <v>0</v>
      </c>
    </row>
    <row r="31" spans="1:24">
      <c r="A31" s="1">
        <v>29</v>
      </c>
      <c r="B31" s="1">
        <v>2</v>
      </c>
      <c r="C31" s="1">
        <f t="shared" si="0"/>
        <v>3</v>
      </c>
      <c r="D31" s="1">
        <f t="shared" si="1"/>
        <v>3</v>
      </c>
      <c r="E31" s="1">
        <f t="shared" si="2"/>
        <v>3</v>
      </c>
      <c r="F31" s="1">
        <f t="shared" si="3"/>
        <v>1</v>
      </c>
      <c r="G31" s="1">
        <f t="shared" si="17"/>
        <v>0.5</v>
      </c>
      <c r="H31" s="1">
        <f t="shared" si="4"/>
        <v>0</v>
      </c>
      <c r="I31" s="1">
        <f t="shared" si="5"/>
        <v>7.5</v>
      </c>
      <c r="J31" s="1">
        <f t="shared" si="6"/>
        <v>2</v>
      </c>
      <c r="K31" s="1">
        <v>150</v>
      </c>
      <c r="L31" s="1">
        <f t="shared" si="7"/>
        <v>225</v>
      </c>
      <c r="M31" s="1">
        <f t="shared" si="8"/>
        <v>450</v>
      </c>
      <c r="N31" s="1">
        <f t="shared" si="18"/>
        <v>11190</v>
      </c>
      <c r="O31" s="1">
        <f t="shared" si="9"/>
        <v>0</v>
      </c>
      <c r="P31" s="1">
        <f t="shared" si="10"/>
        <v>0</v>
      </c>
      <c r="Q31" s="1">
        <f t="shared" si="11"/>
        <v>0</v>
      </c>
      <c r="R31" s="1">
        <f t="shared" si="12"/>
        <v>0</v>
      </c>
      <c r="S31" s="1">
        <f t="shared" si="13"/>
        <v>5240</v>
      </c>
      <c r="T31" s="1" t="b">
        <f ca="1" t="shared" si="14"/>
        <v>0</v>
      </c>
      <c r="U31" s="1">
        <v>1</v>
      </c>
      <c r="V31" s="1">
        <f t="shared" si="19"/>
        <v>0</v>
      </c>
      <c r="W31" s="1">
        <f t="shared" si="15"/>
        <v>1</v>
      </c>
      <c r="X31" s="1">
        <f t="shared" si="16"/>
        <v>0</v>
      </c>
    </row>
    <row r="32" spans="1:24">
      <c r="A32" s="1">
        <v>30</v>
      </c>
      <c r="B32" s="1">
        <v>2</v>
      </c>
      <c r="C32" s="1">
        <f t="shared" si="0"/>
        <v>3</v>
      </c>
      <c r="D32" s="1">
        <f t="shared" si="1"/>
        <v>3</v>
      </c>
      <c r="E32" s="1">
        <f t="shared" si="2"/>
        <v>3</v>
      </c>
      <c r="F32" s="1">
        <f t="shared" si="3"/>
        <v>1</v>
      </c>
      <c r="G32" s="1">
        <f t="shared" si="17"/>
        <v>0.5</v>
      </c>
      <c r="H32" s="1">
        <f t="shared" si="4"/>
        <v>0</v>
      </c>
      <c r="I32" s="1">
        <f t="shared" si="5"/>
        <v>7.5</v>
      </c>
      <c r="J32" s="1">
        <f t="shared" si="6"/>
        <v>2</v>
      </c>
      <c r="K32" s="1">
        <v>150</v>
      </c>
      <c r="L32" s="1">
        <f t="shared" si="7"/>
        <v>225</v>
      </c>
      <c r="M32" s="1">
        <f t="shared" si="8"/>
        <v>450</v>
      </c>
      <c r="N32" s="1">
        <f t="shared" si="18"/>
        <v>11640</v>
      </c>
      <c r="O32" s="1">
        <f t="shared" si="9"/>
        <v>0</v>
      </c>
      <c r="P32" s="1">
        <f t="shared" si="10"/>
        <v>0</v>
      </c>
      <c r="Q32" s="1">
        <f t="shared" si="11"/>
        <v>0</v>
      </c>
      <c r="R32" s="1">
        <f t="shared" si="12"/>
        <v>0</v>
      </c>
      <c r="S32" s="1">
        <f t="shared" si="13"/>
        <v>5690</v>
      </c>
      <c r="T32" s="1" t="b">
        <f ca="1" t="shared" si="14"/>
        <v>0</v>
      </c>
      <c r="U32" s="1">
        <v>1</v>
      </c>
      <c r="V32" s="1">
        <f t="shared" si="19"/>
        <v>0</v>
      </c>
      <c r="W32" s="1">
        <f t="shared" si="15"/>
        <v>1</v>
      </c>
      <c r="X32" s="1">
        <f t="shared" si="16"/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Kingsoft Office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参数表</vt:lpstr>
      <vt:lpstr>不爱更换</vt:lpstr>
      <vt:lpstr>爱更换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z1594</dc:creator>
  <cp:lastModifiedBy>WPS_1691496405</cp:lastModifiedBy>
  <dcterms:created xsi:type="dcterms:W3CDTF">2026-07-20T16:27:00Z</dcterms:created>
  <dcterms:modified xsi:type="dcterms:W3CDTF">2026-08-05T10:40:56Z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781E2A5FF4AA443FA9BEE1E1BE7B11EF_11</vt:lpwstr>
  </property>
  <property fmtid="{D5CDD505-2E9C-101B-9397-08002B2CF9AE}" pid="3" name="KSOProductBuildVer">
    <vt:lpwstr>2052-12.1.0.18276</vt:lpwstr>
  </property>
</Properties>
</file>